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har Singh\Daily Report\AMDOCs\PnL Report\New Project Amdocs\"/>
    </mc:Choice>
  </mc:AlternateContent>
  <xr:revisionPtr revIDLastSave="0" documentId="13_ncr:1_{3483379B-AC4E-420D-B805-6EDBD80858D8}" xr6:coauthVersionLast="47" xr6:coauthVersionMax="47" xr10:uidLastSave="{00000000-0000-0000-0000-000000000000}"/>
  <bookViews>
    <workbookView xWindow="-108" yWindow="-108" windowWidth="23256" windowHeight="12456" xr2:uid="{740FAF21-9CC9-4069-B2B2-EBDE21D79445}"/>
  </bookViews>
  <sheets>
    <sheet name="Raw Data" sheetId="1" r:id="rId1"/>
  </sheets>
  <definedNames>
    <definedName name="_xlnm._FilterDatabase" localSheetId="0" hidden="1">'Raw Data'!$A$1:$AC$54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45" i="1" l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Z44" i="1"/>
  <c r="Y44" i="1"/>
  <c r="Z43" i="1"/>
  <c r="Y43" i="1"/>
  <c r="Z42" i="1"/>
  <c r="Y42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Z4" i="1"/>
  <c r="Y4" i="1"/>
  <c r="Z3" i="1"/>
  <c r="Y3" i="1"/>
  <c r="Z2" i="1"/>
  <c r="Y2" i="1"/>
</calcChain>
</file>

<file path=xl/sharedStrings.xml><?xml version="1.0" encoding="utf-8"?>
<sst xmlns="http://schemas.openxmlformats.org/spreadsheetml/2006/main" count="347" uniqueCount="58">
  <si>
    <t>SR No.</t>
  </si>
  <si>
    <t>Job No.</t>
  </si>
  <si>
    <t>Amdocs Assigned date</t>
  </si>
  <si>
    <t>Amdocs Ecd</t>
  </si>
  <si>
    <t>Month</t>
  </si>
  <si>
    <t>Market</t>
  </si>
  <si>
    <t>Job Type</t>
  </si>
  <si>
    <t>Job Submited date</t>
  </si>
  <si>
    <t>Amdocs Correction received date</t>
  </si>
  <si>
    <t xml:space="preserve">Current status </t>
  </si>
  <si>
    <t xml:space="preserve">% of job </t>
  </si>
  <si>
    <t>No. of terminals</t>
  </si>
  <si>
    <t>Quality Score</t>
  </si>
  <si>
    <t>Glow OTP</t>
  </si>
  <si>
    <t>Amdocs OTP</t>
  </si>
  <si>
    <t>Footages</t>
  </si>
  <si>
    <t>LU's</t>
  </si>
  <si>
    <t xml:space="preserve">Remark if any </t>
  </si>
  <si>
    <t>Week</t>
  </si>
  <si>
    <t>Status with Days</t>
  </si>
  <si>
    <t>Year</t>
  </si>
  <si>
    <t>F2</t>
  </si>
  <si>
    <t>Submitted</t>
  </si>
  <si>
    <t>NC</t>
  </si>
  <si>
    <t>F2 Waldo Snip</t>
  </si>
  <si>
    <t>F2 Waldo</t>
  </si>
  <si>
    <t>IP</t>
  </si>
  <si>
    <t>ILLINOIS</t>
  </si>
  <si>
    <t>Wisconsin</t>
  </si>
  <si>
    <t>Alabama</t>
  </si>
  <si>
    <t>F1-IQGEO</t>
  </si>
  <si>
    <t>F1</t>
  </si>
  <si>
    <t>North Carolina</t>
  </si>
  <si>
    <t>LA</t>
  </si>
  <si>
    <t>FL</t>
  </si>
  <si>
    <t>Florida</t>
  </si>
  <si>
    <t>Dec'25</t>
  </si>
  <si>
    <t>Hold</t>
  </si>
  <si>
    <t>Feb'26</t>
  </si>
  <si>
    <t>Mar'26</t>
  </si>
  <si>
    <t xml:space="preserve">FLORIDA </t>
  </si>
  <si>
    <t>GEORGIA</t>
  </si>
  <si>
    <t>Georgia</t>
  </si>
  <si>
    <t>Jun'26</t>
  </si>
  <si>
    <t>Jul'26</t>
  </si>
  <si>
    <t>Final Status</t>
  </si>
  <si>
    <t>Invoicing Done</t>
  </si>
  <si>
    <t>Ready for Billing – Sent to Client</t>
  </si>
  <si>
    <t>Sent to Client – QC Feedback</t>
  </si>
  <si>
    <t>ASE</t>
  </si>
  <si>
    <t>ASE Footages 1</t>
  </si>
  <si>
    <t>ASE Footages 2</t>
  </si>
  <si>
    <t>ASE Energization</t>
  </si>
  <si>
    <t>Total FC Revenue (₹)</t>
  </si>
  <si>
    <t>Total Actual  Revenue (₹)</t>
  </si>
  <si>
    <t>Placement &lt;1000ft</t>
  </si>
  <si>
    <t>Page Count</t>
  </si>
  <si>
    <t>Project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</si>
</sst>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rial"/>
      <family val="2"/>
    </font>
    <font>
      <sz val="11"/>
      <color rgb="FF000000"/>
      <name val="Aptos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5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5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5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15" fontId="5" fillId="8" borderId="1" xfId="0" applyNumberFormat="1" applyFont="1" applyFill="1" applyBorder="1" applyAlignment="1">
      <alignment horizontal="center"/>
    </xf>
    <xf numFmtId="15" fontId="5" fillId="6" borderId="1" xfId="0" applyNumberFormat="1" applyFont="1" applyFill="1" applyBorder="1" applyAlignment="1">
      <alignment horizontal="center"/>
    </xf>
    <xf numFmtId="15" fontId="5" fillId="5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5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15" fontId="5" fillId="10" borderId="1" xfId="0" applyNumberFormat="1" applyFont="1" applyFill="1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15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3" borderId="1" xfId="0" applyFill="1" applyBorder="1"/>
    <xf numFmtId="164" fontId="0" fillId="0" borderId="1" xfId="1" applyNumberFormat="1" applyFont="1" applyBorder="1" applyAlignme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9" fontId="0" fillId="8" borderId="1" xfId="0" applyNumberFormat="1" applyFill="1" applyBorder="1"/>
    <xf numFmtId="0" fontId="0" fillId="9" borderId="1" xfId="0" applyFill="1" applyBorder="1"/>
    <xf numFmtId="0" fontId="0" fillId="10" borderId="1" xfId="0" applyFill="1" applyBorder="1"/>
    <xf numFmtId="15" fontId="0" fillId="0" borderId="0" xfId="0" applyNumberFormat="1"/>
    <xf numFmtId="164" fontId="0" fillId="0" borderId="0" xfId="1" applyNumberFormat="1" applyFont="1" applyAlignment="1"/>
    <xf numFmtId="0" fontId="6" fillId="11" borderId="1" xfId="0" applyFont="1" applyFill="1" applyBorder="1" applyAlignment="1">
      <alignment horizontal="center" vertical="center"/>
    </xf>
    <xf numFmtId="164" fontId="6" fillId="11" borderId="1" xfId="1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5" fontId="7" fillId="7" borderId="1" xfId="0" applyNumberFormat="1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9" fontId="8" fillId="7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5" fontId="7" fillId="5" borderId="1" xfId="0" applyNumberFormat="1" applyFont="1" applyFill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9" fontId="8" fillId="5" borderId="1" xfId="0" applyNumberFormat="1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B40B-87DB-4B95-B062-4B53E290FC8A}">
  <dimension ref="A1:AL54"/>
  <sheetViews>
    <sheetView tabSelected="1" workbookViewId="0">
      <pane xSplit="1" ySplit="1" topLeftCell="W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customHeight="1" x14ac:dyDescent="0.3"/>
  <cols>
    <col min="1" max="1" width="6.77734375" bestFit="1" customWidth="1"/>
    <col min="2" max="2" width="10" bestFit="1" customWidth="1"/>
    <col min="3" max="3" width="19.77734375" bestFit="1" customWidth="1"/>
    <col min="4" max="4" width="11.33203125" bestFit="1" customWidth="1"/>
    <col min="5" max="5" width="7.21875" bestFit="1" customWidth="1"/>
    <col min="6" max="6" width="18.5546875" bestFit="1" customWidth="1"/>
    <col min="7" max="7" width="17.6640625" bestFit="1" customWidth="1"/>
    <col min="8" max="8" width="16.21875" style="50" bestFit="1" customWidth="1"/>
    <col min="9" max="9" width="28.5546875" style="35" bestFit="1" customWidth="1"/>
    <col min="10" max="10" width="12.88671875" bestFit="1" customWidth="1"/>
    <col min="11" max="11" width="8.21875" bestFit="1" customWidth="1"/>
    <col min="12" max="12" width="13.77734375" bestFit="1" customWidth="1"/>
    <col min="13" max="13" width="12" bestFit="1" customWidth="1"/>
    <col min="14" max="14" width="9" bestFit="1" customWidth="1"/>
    <col min="15" max="15" width="14.88671875" bestFit="1" customWidth="1"/>
    <col min="16" max="16" width="8.44140625" bestFit="1" customWidth="1"/>
    <col min="17" max="17" width="16.21875" bestFit="1" customWidth="1"/>
    <col min="18" max="18" width="15" bestFit="1" customWidth="1"/>
    <col min="19" max="19" width="19.77734375" bestFit="1" customWidth="1"/>
    <col min="20" max="20" width="16.33203125" bestFit="1" customWidth="1"/>
    <col min="21" max="22" width="16.33203125" customWidth="1"/>
    <col min="23" max="23" width="71.109375" bestFit="1" customWidth="1"/>
    <col min="24" max="24" width="9.33203125" bestFit="1" customWidth="1"/>
    <col min="25" max="25" width="31.77734375" bestFit="1" customWidth="1"/>
    <col min="26" max="26" width="5" bestFit="1" customWidth="1"/>
    <col min="27" max="27" width="19.5546875" bestFit="1" customWidth="1"/>
    <col min="28" max="28" width="24.33203125" style="51" bestFit="1" customWidth="1"/>
    <col min="29" max="29" width="25.88671875" style="35" bestFit="1" customWidth="1"/>
  </cols>
  <sheetData>
    <row r="1" spans="1:29" ht="12.75" customHeight="1" x14ac:dyDescent="0.3">
      <c r="A1" s="37" t="s">
        <v>0</v>
      </c>
      <c r="B1" s="37" t="s">
        <v>1</v>
      </c>
      <c r="C1" s="37" t="s">
        <v>2</v>
      </c>
      <c r="D1" s="38" t="s">
        <v>3</v>
      </c>
      <c r="E1" s="37" t="s">
        <v>4</v>
      </c>
      <c r="F1" s="37" t="s">
        <v>5</v>
      </c>
      <c r="G1" s="37" t="s">
        <v>6</v>
      </c>
      <c r="H1" s="39" t="s">
        <v>7</v>
      </c>
      <c r="I1" s="39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65" t="s">
        <v>15</v>
      </c>
      <c r="Q1" s="65" t="s">
        <v>16</v>
      </c>
      <c r="R1" s="52" t="s">
        <v>50</v>
      </c>
      <c r="S1" s="52" t="s">
        <v>51</v>
      </c>
      <c r="T1" s="52" t="s">
        <v>52</v>
      </c>
      <c r="U1" s="66" t="s">
        <v>56</v>
      </c>
      <c r="V1" s="66" t="s">
        <v>57</v>
      </c>
      <c r="W1" s="37" t="s">
        <v>17</v>
      </c>
      <c r="X1" s="37" t="s">
        <v>18</v>
      </c>
      <c r="Y1" s="37" t="s">
        <v>19</v>
      </c>
      <c r="Z1" s="37" t="s">
        <v>20</v>
      </c>
      <c r="AA1" s="52" t="s">
        <v>53</v>
      </c>
      <c r="AB1" s="53" t="s">
        <v>54</v>
      </c>
      <c r="AC1" s="37" t="s">
        <v>45</v>
      </c>
    </row>
    <row r="2" spans="1:29" ht="12.75" customHeight="1" x14ac:dyDescent="0.3">
      <c r="A2" s="3">
        <v>508</v>
      </c>
      <c r="B2" s="46">
        <v>449148</v>
      </c>
      <c r="C2" s="18">
        <v>46014</v>
      </c>
      <c r="D2" s="18">
        <v>46017</v>
      </c>
      <c r="E2" s="19" t="s">
        <v>36</v>
      </c>
      <c r="F2" s="20" t="s">
        <v>35</v>
      </c>
      <c r="G2" s="21" t="s">
        <v>30</v>
      </c>
      <c r="H2" s="23"/>
      <c r="I2" s="16"/>
      <c r="J2" s="17" t="s">
        <v>37</v>
      </c>
      <c r="K2" s="22"/>
      <c r="L2" s="17"/>
      <c r="M2" s="22"/>
      <c r="N2" s="47"/>
      <c r="O2" s="17"/>
      <c r="P2" s="17"/>
      <c r="Q2" s="46"/>
      <c r="R2" s="46"/>
      <c r="S2" s="46"/>
      <c r="T2" s="46"/>
      <c r="U2" s="46"/>
      <c r="V2" s="41" t="s">
        <v>31</v>
      </c>
      <c r="W2" s="46"/>
      <c r="X2" s="3" t="str">
        <f t="shared" ref="X2" si="0">TEXT(D2,"yyyy") &amp; "-W" &amp; TEXT(WEEKNUM(D2,2),"00")</f>
        <v>2025-W52</v>
      </c>
      <c r="Y2" s="46" t="str">
        <f t="shared" ref="Y2" ca="1" si="1">IF(J2="Submitted",IF(H2=D2,"Job Submitted AMDOCS ECD",IF(H2&lt;D2,"Submitted " &amp; D2-H2 &amp; " day(s) before ECD","Submitted " &amp; H2-D2 &amp; " day(s) after ECD (lapsed)")),IF(D2&lt;TODAY(),"ECD Lapsed",IF(D2=TODAY(),"Due Today",D2-TODAY() &amp; " days remaining")))</f>
        <v>ECD Lapsed</v>
      </c>
      <c r="Z2" s="2">
        <f t="shared" ref="Z2" si="2">YEAR(D2)</f>
        <v>2025</v>
      </c>
      <c r="AA2" s="2"/>
      <c r="AB2" s="42">
        <v>0</v>
      </c>
      <c r="AC2" s="1" t="s">
        <v>37</v>
      </c>
    </row>
    <row r="3" spans="1:29" ht="12.75" customHeight="1" x14ac:dyDescent="0.3">
      <c r="A3" s="3">
        <v>632</v>
      </c>
      <c r="B3" s="44">
        <v>120074</v>
      </c>
      <c r="C3" s="5">
        <v>46072</v>
      </c>
      <c r="D3" s="5">
        <v>46078</v>
      </c>
      <c r="E3" s="6" t="s">
        <v>38</v>
      </c>
      <c r="F3" s="7" t="s">
        <v>33</v>
      </c>
      <c r="G3" s="8" t="s">
        <v>24</v>
      </c>
      <c r="H3" s="25"/>
      <c r="I3" s="16"/>
      <c r="J3" s="4" t="s">
        <v>37</v>
      </c>
      <c r="K3" s="9"/>
      <c r="L3" s="4">
        <v>59</v>
      </c>
      <c r="M3" s="9"/>
      <c r="N3" s="9"/>
      <c r="O3" s="4"/>
      <c r="P3" s="4"/>
      <c r="Q3" s="44">
        <v>182</v>
      </c>
      <c r="R3" s="44"/>
      <c r="S3" s="44"/>
      <c r="T3" s="44"/>
      <c r="U3" s="44"/>
      <c r="V3" s="43" t="s">
        <v>25</v>
      </c>
      <c r="W3" s="44"/>
      <c r="X3" s="3" t="str">
        <f t="shared" ref="X3" si="3">TEXT(D3,"yyyy") &amp; "-W" &amp; TEXT(WEEKNUM(D3,2),"00")</f>
        <v>2026-W09</v>
      </c>
      <c r="Y3" s="45" t="str">
        <f t="shared" ref="Y3:Y7" ca="1" si="4">IF(J3="Submitted",IF(H3=D3,"Job Submitted AMDOCS ECD",IF(H3&lt;D3,"Submitted " &amp; D3-H3 &amp; " day(s) before ECD","Submitted " &amp; H3-D3 &amp; " day(s) after ECD (lapsed)")),IF(D3&lt;TODAY(),"ECD Lapsed",IF(D3=TODAY(),"Due Today",D3-TODAY() &amp; " days remaining")))</f>
        <v>ECD Lapsed</v>
      </c>
      <c r="Z3" s="2">
        <f t="shared" ref="Z3:Z7" si="5">YEAR(D3)</f>
        <v>2026</v>
      </c>
      <c r="AA3" s="2"/>
      <c r="AB3" s="42">
        <v>38036.400000000001</v>
      </c>
      <c r="AC3" s="1" t="s">
        <v>37</v>
      </c>
    </row>
    <row r="4" spans="1:29" ht="12.75" customHeight="1" x14ac:dyDescent="0.3">
      <c r="A4" s="3">
        <v>657</v>
      </c>
      <c r="B4" s="45">
        <v>667032</v>
      </c>
      <c r="C4" s="11">
        <v>46083</v>
      </c>
      <c r="D4" s="11">
        <v>46085</v>
      </c>
      <c r="E4" s="12" t="s">
        <v>39</v>
      </c>
      <c r="F4" s="13" t="s">
        <v>40</v>
      </c>
      <c r="G4" s="14" t="s">
        <v>21</v>
      </c>
      <c r="H4" s="24">
        <v>46085</v>
      </c>
      <c r="I4" s="16"/>
      <c r="J4" s="10" t="s">
        <v>22</v>
      </c>
      <c r="K4" s="15">
        <v>1</v>
      </c>
      <c r="L4" s="10">
        <v>40</v>
      </c>
      <c r="M4" s="15">
        <v>0.67</v>
      </c>
      <c r="N4" s="15">
        <v>1</v>
      </c>
      <c r="O4" s="15">
        <v>1</v>
      </c>
      <c r="P4" s="10">
        <v>7746</v>
      </c>
      <c r="Q4" s="45"/>
      <c r="R4" s="45"/>
      <c r="S4" s="45"/>
      <c r="T4" s="45"/>
      <c r="U4" s="45"/>
      <c r="V4" s="40" t="s">
        <v>21</v>
      </c>
      <c r="W4" s="45"/>
      <c r="X4" s="3" t="str">
        <f t="shared" ref="X4:X7" si="6">TEXT(D4,"yyyy") &amp; "-W" &amp; TEXT(WEEKNUM(D4,2),"00")</f>
        <v>2026-W10</v>
      </c>
      <c r="Y4" s="45" t="str">
        <f t="shared" ca="1" si="4"/>
        <v>Job Submitted AMDOCS ECD</v>
      </c>
      <c r="Z4" s="2">
        <f t="shared" si="5"/>
        <v>2026</v>
      </c>
      <c r="AA4" s="2"/>
      <c r="AB4" s="42">
        <v>41849.61</v>
      </c>
      <c r="AC4" s="1" t="s">
        <v>46</v>
      </c>
    </row>
    <row r="5" spans="1:29" ht="12.75" customHeight="1" x14ac:dyDescent="0.3">
      <c r="A5" s="3">
        <v>658</v>
      </c>
      <c r="B5" s="45">
        <v>245208</v>
      </c>
      <c r="C5" s="11">
        <v>46083</v>
      </c>
      <c r="D5" s="11">
        <v>46087</v>
      </c>
      <c r="E5" s="12" t="s">
        <v>39</v>
      </c>
      <c r="F5" s="13" t="s">
        <v>41</v>
      </c>
      <c r="G5" s="14" t="s">
        <v>21</v>
      </c>
      <c r="H5" s="24">
        <v>46087</v>
      </c>
      <c r="I5" s="16"/>
      <c r="J5" s="10" t="s">
        <v>22</v>
      </c>
      <c r="K5" s="15">
        <v>1</v>
      </c>
      <c r="L5" s="10">
        <v>19</v>
      </c>
      <c r="M5" s="15">
        <v>0.5</v>
      </c>
      <c r="N5" s="15">
        <v>1</v>
      </c>
      <c r="O5" s="15">
        <v>1</v>
      </c>
      <c r="P5" s="10">
        <v>7621</v>
      </c>
      <c r="Q5" s="45"/>
      <c r="R5" s="45"/>
      <c r="S5" s="45"/>
      <c r="T5" s="45"/>
      <c r="U5" s="45"/>
      <c r="V5" s="40" t="s">
        <v>21</v>
      </c>
      <c r="W5" s="45"/>
      <c r="X5" s="3" t="str">
        <f t="shared" si="6"/>
        <v>2026-W10</v>
      </c>
      <c r="Y5" s="45" t="str">
        <f t="shared" ca="1" si="4"/>
        <v>Job Submitted AMDOCS ECD</v>
      </c>
      <c r="Z5" s="2">
        <f t="shared" si="5"/>
        <v>2026</v>
      </c>
      <c r="AA5" s="2"/>
      <c r="AB5" s="42">
        <v>41251.485000000001</v>
      </c>
      <c r="AC5" s="1" t="s">
        <v>46</v>
      </c>
    </row>
    <row r="6" spans="1:29" ht="12.75" customHeight="1" x14ac:dyDescent="0.3">
      <c r="A6" s="3">
        <v>665</v>
      </c>
      <c r="B6" s="45">
        <v>381941</v>
      </c>
      <c r="C6" s="11">
        <v>46088</v>
      </c>
      <c r="D6" s="11">
        <v>46094</v>
      </c>
      <c r="E6" s="12" t="s">
        <v>39</v>
      </c>
      <c r="F6" s="13" t="s">
        <v>42</v>
      </c>
      <c r="G6" s="14" t="s">
        <v>21</v>
      </c>
      <c r="H6" s="24">
        <v>46094</v>
      </c>
      <c r="I6" s="16"/>
      <c r="J6" s="10" t="s">
        <v>22</v>
      </c>
      <c r="K6" s="15">
        <v>1</v>
      </c>
      <c r="L6" s="10">
        <v>61</v>
      </c>
      <c r="M6" s="15"/>
      <c r="N6" s="15">
        <v>1</v>
      </c>
      <c r="O6" s="15">
        <v>1</v>
      </c>
      <c r="P6" s="10">
        <v>12549</v>
      </c>
      <c r="Q6" s="45"/>
      <c r="R6" s="45"/>
      <c r="S6" s="45"/>
      <c r="T6" s="45"/>
      <c r="U6" s="45"/>
      <c r="V6" s="40" t="s">
        <v>21</v>
      </c>
      <c r="W6" s="45"/>
      <c r="X6" s="3" t="str">
        <f t="shared" si="6"/>
        <v>2026-W11</v>
      </c>
      <c r="Y6" s="45" t="str">
        <f t="shared" ca="1" si="4"/>
        <v>Job Submitted AMDOCS ECD</v>
      </c>
      <c r="Z6" s="2">
        <f t="shared" si="5"/>
        <v>2026</v>
      </c>
      <c r="AA6" s="2"/>
      <c r="AB6" s="42">
        <v>64831.965000000004</v>
      </c>
      <c r="AC6" s="1" t="s">
        <v>46</v>
      </c>
    </row>
    <row r="7" spans="1:29" ht="12.75" customHeight="1" x14ac:dyDescent="0.3">
      <c r="A7" s="3">
        <v>666</v>
      </c>
      <c r="B7" s="45">
        <v>153845</v>
      </c>
      <c r="C7" s="11">
        <v>46088</v>
      </c>
      <c r="D7" s="11">
        <v>46091</v>
      </c>
      <c r="E7" s="12" t="s">
        <v>39</v>
      </c>
      <c r="F7" s="13" t="s">
        <v>27</v>
      </c>
      <c r="G7" s="14" t="s">
        <v>21</v>
      </c>
      <c r="H7" s="24">
        <v>46091</v>
      </c>
      <c r="I7" s="16"/>
      <c r="J7" s="10" t="s">
        <v>22</v>
      </c>
      <c r="K7" s="15">
        <v>1</v>
      </c>
      <c r="L7" s="10">
        <v>54</v>
      </c>
      <c r="M7" s="15">
        <v>0.7</v>
      </c>
      <c r="N7" s="15">
        <v>1</v>
      </c>
      <c r="O7" s="15">
        <v>1</v>
      </c>
      <c r="P7" s="10">
        <v>24073</v>
      </c>
      <c r="Q7" s="45"/>
      <c r="R7" s="45"/>
      <c r="S7" s="45"/>
      <c r="T7" s="45"/>
      <c r="U7" s="45"/>
      <c r="V7" s="40" t="s">
        <v>21</v>
      </c>
      <c r="W7" s="45"/>
      <c r="X7" s="3" t="str">
        <f t="shared" si="6"/>
        <v>2026-W11</v>
      </c>
      <c r="Y7" s="45" t="str">
        <f t="shared" ca="1" si="4"/>
        <v>Job Submitted AMDOCS ECD</v>
      </c>
      <c r="Z7" s="2">
        <f t="shared" si="5"/>
        <v>2026</v>
      </c>
      <c r="AA7" s="2"/>
      <c r="AB7" s="42">
        <v>119974.30500000001</v>
      </c>
      <c r="AC7" s="1" t="s">
        <v>46</v>
      </c>
    </row>
    <row r="8" spans="1:29" ht="12.75" customHeight="1" x14ac:dyDescent="0.3">
      <c r="A8" s="3">
        <v>706</v>
      </c>
      <c r="B8" s="45">
        <v>251493</v>
      </c>
      <c r="C8" s="11">
        <v>46105</v>
      </c>
      <c r="D8" s="11">
        <v>46108</v>
      </c>
      <c r="E8" s="12" t="s">
        <v>39</v>
      </c>
      <c r="F8" s="13" t="s">
        <v>23</v>
      </c>
      <c r="G8" s="14" t="s">
        <v>21</v>
      </c>
      <c r="H8" s="24">
        <v>46108</v>
      </c>
      <c r="I8" s="16"/>
      <c r="J8" s="10" t="s">
        <v>22</v>
      </c>
      <c r="K8" s="15">
        <v>1</v>
      </c>
      <c r="L8" s="10">
        <v>71</v>
      </c>
      <c r="M8" s="15"/>
      <c r="N8" s="15">
        <v>1</v>
      </c>
      <c r="O8" s="15">
        <v>1</v>
      </c>
      <c r="P8" s="10">
        <v>27824</v>
      </c>
      <c r="Q8" s="45"/>
      <c r="R8" s="45"/>
      <c r="S8" s="45"/>
      <c r="T8" s="45"/>
      <c r="U8" s="45"/>
      <c r="V8" s="40" t="s">
        <v>21</v>
      </c>
      <c r="W8" s="45"/>
      <c r="X8" s="3" t="str">
        <f t="shared" ref="X8" si="7">TEXT(D8,"yyyy") &amp; "-W" &amp; TEXT(WEEKNUM(D8,2),"00")</f>
        <v>2026-W13</v>
      </c>
      <c r="Y8" s="45" t="str">
        <f t="shared" ref="Y8" ca="1" si="8">IF(J8="Submitted",IF(H8=D8,"Job Submitted AMDOCS ECD",IF(H8&lt;D8,"Submitted " &amp; D8-H8 &amp; " day(s) before ECD","Submitted " &amp; H8-D8 &amp; " day(s) after ECD (lapsed)")),IF(D8&lt;TODAY(),"ECD Lapsed",IF(D8=TODAY(),"Due Today",D8-TODAY() &amp; " days remaining")))</f>
        <v>Job Submitted AMDOCS ECD</v>
      </c>
      <c r="Z8" s="2">
        <f t="shared" ref="Z8" si="9">YEAR(D8)</f>
        <v>2026</v>
      </c>
      <c r="AA8" s="2"/>
      <c r="AB8" s="42">
        <v>137922.84</v>
      </c>
      <c r="AC8" s="1" t="s">
        <v>46</v>
      </c>
    </row>
    <row r="9" spans="1:29" ht="12.75" customHeight="1" x14ac:dyDescent="0.3">
      <c r="A9" s="3">
        <v>816</v>
      </c>
      <c r="B9" s="49">
        <v>91239</v>
      </c>
      <c r="C9" s="27">
        <v>46192</v>
      </c>
      <c r="D9" s="27">
        <v>46196</v>
      </c>
      <c r="E9" s="28" t="s">
        <v>43</v>
      </c>
      <c r="F9" s="29" t="s">
        <v>34</v>
      </c>
      <c r="G9" s="30" t="s">
        <v>24</v>
      </c>
      <c r="H9" s="31">
        <v>46196</v>
      </c>
      <c r="I9" s="16"/>
      <c r="J9" s="26" t="s">
        <v>22</v>
      </c>
      <c r="K9" s="32">
        <v>1</v>
      </c>
      <c r="L9" s="26">
        <v>142</v>
      </c>
      <c r="M9" s="32">
        <v>0.8</v>
      </c>
      <c r="N9" s="32"/>
      <c r="O9" s="32"/>
      <c r="P9" s="26"/>
      <c r="Q9" s="49">
        <v>465</v>
      </c>
      <c r="R9" s="49"/>
      <c r="S9" s="49"/>
      <c r="T9" s="49"/>
      <c r="U9" s="49"/>
      <c r="V9" s="43" t="s">
        <v>25</v>
      </c>
      <c r="W9" s="49"/>
      <c r="X9" s="3" t="str">
        <f t="shared" ref="X9:X26" si="10">TEXT(D9,"yyyy") &amp; "-W" &amp; TEXT(WEEKNUM(D9,2),"00")</f>
        <v>2026-W26</v>
      </c>
      <c r="Y9" s="48" t="str">
        <f t="shared" ref="Y9:Y23" ca="1" si="11">IF(J9="Submitted",IF(H9=D9,"Job Submitted AMDOCS ECD",IF(H9&lt;D9,"Submitted " &amp; D9-H9 &amp; " day(s) before ECD","Submitted " &amp; H9-D9 &amp; " day(s) after ECD (lapsed)")),IF(D9&lt;TODAY(),"ECD Lapsed",IF(D9=TODAY(),"Due Today",D9-TODAY() &amp; " days remaining")))</f>
        <v>Job Submitted AMDOCS ECD</v>
      </c>
      <c r="Z9" s="2">
        <f t="shared" ref="Z9:Z23" si="12">YEAR(D9)</f>
        <v>2026</v>
      </c>
      <c r="AA9" s="2"/>
      <c r="AB9" s="42">
        <v>95929.5</v>
      </c>
      <c r="AC9" s="1" t="s">
        <v>46</v>
      </c>
    </row>
    <row r="10" spans="1:29" ht="12.75" customHeight="1" x14ac:dyDescent="0.3">
      <c r="A10" s="3">
        <v>817</v>
      </c>
      <c r="B10" s="49">
        <v>420826</v>
      </c>
      <c r="C10" s="27">
        <v>46195</v>
      </c>
      <c r="D10" s="27">
        <v>46197</v>
      </c>
      <c r="E10" s="28" t="s">
        <v>43</v>
      </c>
      <c r="F10" s="29" t="s">
        <v>35</v>
      </c>
      <c r="G10" s="30" t="s">
        <v>24</v>
      </c>
      <c r="H10" s="31">
        <v>46197</v>
      </c>
      <c r="I10" s="16"/>
      <c r="J10" s="26" t="s">
        <v>22</v>
      </c>
      <c r="K10" s="32">
        <v>1</v>
      </c>
      <c r="L10" s="26">
        <v>70</v>
      </c>
      <c r="M10" s="32"/>
      <c r="N10" s="32"/>
      <c r="O10" s="32"/>
      <c r="P10" s="26"/>
      <c r="Q10" s="49">
        <v>248</v>
      </c>
      <c r="R10" s="49"/>
      <c r="S10" s="49"/>
      <c r="T10" s="49"/>
      <c r="U10" s="49"/>
      <c r="V10" s="43" t="s">
        <v>25</v>
      </c>
      <c r="W10" s="49"/>
      <c r="X10" s="3" t="str">
        <f t="shared" si="10"/>
        <v>2026-W26</v>
      </c>
      <c r="Y10" s="48" t="str">
        <f t="shared" ca="1" si="11"/>
        <v>Job Submitted AMDOCS ECD</v>
      </c>
      <c r="Z10" s="2">
        <f t="shared" si="12"/>
        <v>2026</v>
      </c>
      <c r="AA10" s="2"/>
      <c r="AB10" s="42">
        <v>53549.400000000009</v>
      </c>
      <c r="AC10" s="1" t="s">
        <v>46</v>
      </c>
    </row>
    <row r="11" spans="1:29" ht="12.75" customHeight="1" x14ac:dyDescent="0.3">
      <c r="A11" s="3">
        <v>818</v>
      </c>
      <c r="B11" s="49">
        <v>602249</v>
      </c>
      <c r="C11" s="27">
        <v>46197</v>
      </c>
      <c r="D11" s="27">
        <v>46199</v>
      </c>
      <c r="E11" s="28" t="s">
        <v>43</v>
      </c>
      <c r="F11" s="29" t="s">
        <v>28</v>
      </c>
      <c r="G11" s="30" t="s">
        <v>24</v>
      </c>
      <c r="H11" s="31">
        <v>46199</v>
      </c>
      <c r="I11" s="16"/>
      <c r="J11" s="26" t="s">
        <v>22</v>
      </c>
      <c r="K11" s="32">
        <v>1</v>
      </c>
      <c r="L11" s="26">
        <v>131</v>
      </c>
      <c r="M11" s="32"/>
      <c r="N11" s="32"/>
      <c r="O11" s="32"/>
      <c r="P11" s="26"/>
      <c r="Q11" s="49">
        <v>576</v>
      </c>
      <c r="R11" s="49"/>
      <c r="S11" s="49"/>
      <c r="T11" s="49"/>
      <c r="U11" s="49"/>
      <c r="V11" s="43" t="s">
        <v>25</v>
      </c>
      <c r="W11" s="49"/>
      <c r="X11" s="3" t="str">
        <f t="shared" si="10"/>
        <v>2026-W26</v>
      </c>
      <c r="Y11" s="48" t="str">
        <f t="shared" ca="1" si="11"/>
        <v>Job Submitted AMDOCS ECD</v>
      </c>
      <c r="Z11" s="2">
        <f t="shared" si="12"/>
        <v>2026</v>
      </c>
      <c r="AA11" s="2"/>
      <c r="AB11" s="42">
        <v>117607.80000000002</v>
      </c>
      <c r="AC11" s="1" t="s">
        <v>46</v>
      </c>
    </row>
    <row r="12" spans="1:29" ht="12.75" customHeight="1" x14ac:dyDescent="0.3">
      <c r="A12" s="3">
        <v>819</v>
      </c>
      <c r="B12" s="49">
        <v>406140</v>
      </c>
      <c r="C12" s="27">
        <v>46196</v>
      </c>
      <c r="D12" s="27">
        <v>46197</v>
      </c>
      <c r="E12" s="28" t="s">
        <v>43</v>
      </c>
      <c r="F12" s="29" t="s">
        <v>35</v>
      </c>
      <c r="G12" s="30" t="s">
        <v>30</v>
      </c>
      <c r="H12" s="31">
        <v>46197</v>
      </c>
      <c r="I12" s="16"/>
      <c r="J12" s="26" t="s">
        <v>22</v>
      </c>
      <c r="K12" s="32">
        <v>1</v>
      </c>
      <c r="L12" s="26"/>
      <c r="M12" s="32">
        <v>0.71</v>
      </c>
      <c r="N12" s="32">
        <v>1</v>
      </c>
      <c r="O12" s="32">
        <v>1</v>
      </c>
      <c r="P12" s="26">
        <v>100</v>
      </c>
      <c r="Q12" s="49"/>
      <c r="R12" s="49"/>
      <c r="S12" s="49"/>
      <c r="T12" s="49"/>
      <c r="U12" s="49"/>
      <c r="V12" s="41" t="s">
        <v>31</v>
      </c>
      <c r="W12" s="49"/>
      <c r="X12" s="3" t="str">
        <f t="shared" si="10"/>
        <v>2026-W26</v>
      </c>
      <c r="Y12" s="48" t="str">
        <f t="shared" ca="1" si="11"/>
        <v>Job Submitted AMDOCS ECD</v>
      </c>
      <c r="Z12" s="2">
        <f t="shared" si="12"/>
        <v>2026</v>
      </c>
      <c r="AA12" s="2"/>
      <c r="AB12" s="42">
        <v>6045</v>
      </c>
      <c r="AC12" s="1" t="s">
        <v>46</v>
      </c>
    </row>
    <row r="13" spans="1:29" ht="12.75" customHeight="1" x14ac:dyDescent="0.3">
      <c r="A13" s="3">
        <v>820</v>
      </c>
      <c r="B13" s="49">
        <v>728795</v>
      </c>
      <c r="C13" s="27">
        <v>46196</v>
      </c>
      <c r="D13" s="27">
        <v>46198</v>
      </c>
      <c r="E13" s="28" t="s">
        <v>43</v>
      </c>
      <c r="F13" s="29" t="s">
        <v>35</v>
      </c>
      <c r="G13" s="30" t="s">
        <v>30</v>
      </c>
      <c r="H13" s="31">
        <v>46198</v>
      </c>
      <c r="I13" s="16"/>
      <c r="J13" s="26" t="s">
        <v>22</v>
      </c>
      <c r="K13" s="32">
        <v>1</v>
      </c>
      <c r="L13" s="26"/>
      <c r="M13" s="32">
        <v>0.36</v>
      </c>
      <c r="N13" s="32">
        <v>1</v>
      </c>
      <c r="O13" s="32">
        <v>1</v>
      </c>
      <c r="P13" s="26">
        <v>1848.5</v>
      </c>
      <c r="Q13" s="49"/>
      <c r="R13" s="49"/>
      <c r="S13" s="49"/>
      <c r="T13" s="49"/>
      <c r="U13" s="49"/>
      <c r="V13" s="41" t="s">
        <v>31</v>
      </c>
      <c r="W13" s="49"/>
      <c r="X13" s="3" t="str">
        <f t="shared" si="10"/>
        <v>2026-W26</v>
      </c>
      <c r="Y13" s="48" t="str">
        <f t="shared" ca="1" si="11"/>
        <v>Job Submitted AMDOCS ECD</v>
      </c>
      <c r="Z13" s="2">
        <f t="shared" si="12"/>
        <v>2026</v>
      </c>
      <c r="AA13" s="2"/>
      <c r="AB13" s="42">
        <v>11573.757</v>
      </c>
      <c r="AC13" s="1" t="s">
        <v>46</v>
      </c>
    </row>
    <row r="14" spans="1:29" ht="12.75" customHeight="1" x14ac:dyDescent="0.3">
      <c r="A14" s="3">
        <v>821</v>
      </c>
      <c r="B14" s="49">
        <v>441656</v>
      </c>
      <c r="C14" s="27">
        <v>46197</v>
      </c>
      <c r="D14" s="27">
        <v>46198</v>
      </c>
      <c r="E14" s="28" t="s">
        <v>43</v>
      </c>
      <c r="F14" s="29" t="s">
        <v>28</v>
      </c>
      <c r="G14" s="30" t="s">
        <v>30</v>
      </c>
      <c r="H14" s="31">
        <v>46198</v>
      </c>
      <c r="I14" s="16"/>
      <c r="J14" s="26" t="s">
        <v>22</v>
      </c>
      <c r="K14" s="32">
        <v>1</v>
      </c>
      <c r="L14" s="26"/>
      <c r="M14" s="32">
        <v>0.84</v>
      </c>
      <c r="N14" s="32">
        <v>1</v>
      </c>
      <c r="O14" s="32">
        <v>1</v>
      </c>
      <c r="P14" s="26">
        <v>100.4</v>
      </c>
      <c r="Q14" s="49"/>
      <c r="R14" s="49"/>
      <c r="S14" s="49"/>
      <c r="T14" s="49"/>
      <c r="U14" s="49"/>
      <c r="V14" s="41" t="s">
        <v>31</v>
      </c>
      <c r="W14" s="49"/>
      <c r="X14" s="3" t="str">
        <f t="shared" si="10"/>
        <v>2026-W26</v>
      </c>
      <c r="Y14" s="48" t="str">
        <f t="shared" ca="1" si="11"/>
        <v>Job Submitted AMDOCS ECD</v>
      </c>
      <c r="Z14" s="2">
        <f t="shared" si="12"/>
        <v>2026</v>
      </c>
      <c r="AA14" s="2"/>
      <c r="AB14" s="42">
        <v>6046.2647999999999</v>
      </c>
      <c r="AC14" s="1" t="s">
        <v>46</v>
      </c>
    </row>
    <row r="15" spans="1:29" ht="12.75" customHeight="1" x14ac:dyDescent="0.3">
      <c r="A15" s="3">
        <v>822</v>
      </c>
      <c r="B15" s="49">
        <v>287655</v>
      </c>
      <c r="C15" s="27">
        <v>46199</v>
      </c>
      <c r="D15" s="27">
        <v>46202</v>
      </c>
      <c r="E15" s="28" t="s">
        <v>43</v>
      </c>
      <c r="F15" s="29" t="s">
        <v>35</v>
      </c>
      <c r="G15" s="30" t="s">
        <v>30</v>
      </c>
      <c r="H15" s="31">
        <v>46202</v>
      </c>
      <c r="I15" s="16"/>
      <c r="J15" s="26" t="s">
        <v>22</v>
      </c>
      <c r="K15" s="32">
        <v>1</v>
      </c>
      <c r="L15" s="26"/>
      <c r="M15" s="32"/>
      <c r="N15" s="32">
        <v>1</v>
      </c>
      <c r="O15" s="32">
        <v>1</v>
      </c>
      <c r="P15" s="26">
        <v>100</v>
      </c>
      <c r="Q15" s="49"/>
      <c r="R15" s="49"/>
      <c r="S15" s="49"/>
      <c r="T15" s="49"/>
      <c r="U15" s="49"/>
      <c r="V15" s="41" t="s">
        <v>31</v>
      </c>
      <c r="W15" s="49"/>
      <c r="X15" s="3" t="str">
        <f t="shared" si="10"/>
        <v>2026-W27</v>
      </c>
      <c r="Y15" s="48" t="str">
        <f t="shared" ca="1" si="11"/>
        <v>Job Submitted AMDOCS ECD</v>
      </c>
      <c r="Z15" s="2">
        <f t="shared" si="12"/>
        <v>2026</v>
      </c>
      <c r="AA15" s="2"/>
      <c r="AB15" s="42">
        <v>0</v>
      </c>
      <c r="AC15" s="1" t="s">
        <v>47</v>
      </c>
    </row>
    <row r="16" spans="1:29" ht="12.75" customHeight="1" x14ac:dyDescent="0.3">
      <c r="A16" s="3">
        <v>823</v>
      </c>
      <c r="B16" s="49">
        <v>802227</v>
      </c>
      <c r="C16" s="27">
        <v>46199</v>
      </c>
      <c r="D16" s="27">
        <v>46202</v>
      </c>
      <c r="E16" s="28" t="s">
        <v>43</v>
      </c>
      <c r="F16" s="29" t="s">
        <v>35</v>
      </c>
      <c r="G16" s="30" t="s">
        <v>30</v>
      </c>
      <c r="H16" s="31">
        <v>46202</v>
      </c>
      <c r="I16" s="16"/>
      <c r="J16" s="26" t="s">
        <v>22</v>
      </c>
      <c r="K16" s="32">
        <v>1</v>
      </c>
      <c r="L16" s="26"/>
      <c r="M16" s="32">
        <v>0.47</v>
      </c>
      <c r="N16" s="32">
        <v>1</v>
      </c>
      <c r="O16" s="32">
        <v>1</v>
      </c>
      <c r="P16" s="26">
        <v>100.4</v>
      </c>
      <c r="Q16" s="49"/>
      <c r="R16" s="49"/>
      <c r="S16" s="49"/>
      <c r="T16" s="49"/>
      <c r="U16" s="49"/>
      <c r="V16" s="41" t="s">
        <v>31</v>
      </c>
      <c r="W16" s="49"/>
      <c r="X16" s="3" t="str">
        <f t="shared" si="10"/>
        <v>2026-W27</v>
      </c>
      <c r="Y16" s="48" t="str">
        <f t="shared" ca="1" si="11"/>
        <v>Job Submitted AMDOCS ECD</v>
      </c>
      <c r="Z16" s="2">
        <f t="shared" si="12"/>
        <v>2026</v>
      </c>
      <c r="AA16" s="2"/>
      <c r="AB16" s="42">
        <v>6046.2647999999999</v>
      </c>
      <c r="AC16" s="1" t="s">
        <v>46</v>
      </c>
    </row>
    <row r="17" spans="1:29" ht="12.75" customHeight="1" x14ac:dyDescent="0.3">
      <c r="A17" s="3">
        <v>824</v>
      </c>
      <c r="B17" s="49">
        <v>35218</v>
      </c>
      <c r="C17" s="27">
        <v>46202</v>
      </c>
      <c r="D17" s="27">
        <v>46203</v>
      </c>
      <c r="E17" s="28" t="s">
        <v>43</v>
      </c>
      <c r="F17" s="29" t="s">
        <v>32</v>
      </c>
      <c r="G17" s="30" t="s">
        <v>30</v>
      </c>
      <c r="H17" s="31">
        <v>46203</v>
      </c>
      <c r="I17" s="16"/>
      <c r="J17" s="26" t="s">
        <v>22</v>
      </c>
      <c r="K17" s="32">
        <v>1</v>
      </c>
      <c r="L17" s="26"/>
      <c r="M17" s="32">
        <v>0.6</v>
      </c>
      <c r="N17" s="32">
        <v>1</v>
      </c>
      <c r="O17" s="32">
        <v>1</v>
      </c>
      <c r="P17" s="26">
        <v>218.4</v>
      </c>
      <c r="Q17" s="49"/>
      <c r="R17" s="49"/>
      <c r="S17" s="49"/>
      <c r="T17" s="49"/>
      <c r="U17" s="49"/>
      <c r="V17" s="41" t="s">
        <v>31</v>
      </c>
      <c r="W17" s="49"/>
      <c r="X17" s="3" t="str">
        <f t="shared" si="10"/>
        <v>2026-W27</v>
      </c>
      <c r="Y17" s="48" t="str">
        <f t="shared" ca="1" si="11"/>
        <v>Job Submitted AMDOCS ECD</v>
      </c>
      <c r="Z17" s="2">
        <f t="shared" si="12"/>
        <v>2026</v>
      </c>
      <c r="AA17" s="2"/>
      <c r="AB17" s="42">
        <v>6419.3807999999999</v>
      </c>
      <c r="AC17" s="1" t="s">
        <v>46</v>
      </c>
    </row>
    <row r="18" spans="1:29" ht="12.75" customHeight="1" x14ac:dyDescent="0.3">
      <c r="A18" s="3">
        <v>825</v>
      </c>
      <c r="B18" s="49">
        <v>461083</v>
      </c>
      <c r="C18" s="27">
        <v>46198</v>
      </c>
      <c r="D18" s="27">
        <v>46201</v>
      </c>
      <c r="E18" s="28" t="s">
        <v>43</v>
      </c>
      <c r="F18" s="29" t="s">
        <v>27</v>
      </c>
      <c r="G18" s="30" t="s">
        <v>24</v>
      </c>
      <c r="H18" s="31">
        <v>46201</v>
      </c>
      <c r="I18" s="16"/>
      <c r="J18" s="26" t="s">
        <v>22</v>
      </c>
      <c r="K18" s="32">
        <v>1</v>
      </c>
      <c r="L18" s="26">
        <v>191</v>
      </c>
      <c r="M18" s="32"/>
      <c r="N18" s="32"/>
      <c r="O18" s="32"/>
      <c r="P18" s="26"/>
      <c r="Q18" s="49">
        <v>584</v>
      </c>
      <c r="R18" s="49"/>
      <c r="S18" s="49"/>
      <c r="T18" s="49"/>
      <c r="U18" s="49"/>
      <c r="V18" s="43" t="s">
        <v>25</v>
      </c>
      <c r="W18" s="49"/>
      <c r="X18" s="3" t="str">
        <f t="shared" si="10"/>
        <v>2026-W26</v>
      </c>
      <c r="Y18" s="48" t="str">
        <f t="shared" ca="1" si="11"/>
        <v>Job Submitted AMDOCS ECD</v>
      </c>
      <c r="Z18" s="2">
        <f t="shared" si="12"/>
        <v>2026</v>
      </c>
      <c r="AA18" s="2"/>
      <c r="AB18" s="42">
        <v>119170.20000000001</v>
      </c>
      <c r="AC18" s="1" t="s">
        <v>46</v>
      </c>
    </row>
    <row r="19" spans="1:29" ht="12.75" customHeight="1" x14ac:dyDescent="0.3">
      <c r="A19" s="3">
        <v>826</v>
      </c>
      <c r="B19" s="49">
        <v>791263</v>
      </c>
      <c r="C19" s="27">
        <v>46203</v>
      </c>
      <c r="D19" s="27">
        <v>46205</v>
      </c>
      <c r="E19" s="28" t="s">
        <v>43</v>
      </c>
      <c r="F19" s="29" t="s">
        <v>28</v>
      </c>
      <c r="G19" s="30" t="s">
        <v>24</v>
      </c>
      <c r="H19" s="31">
        <v>46205</v>
      </c>
      <c r="I19" s="16"/>
      <c r="J19" s="26" t="s">
        <v>22</v>
      </c>
      <c r="K19" s="32">
        <v>1</v>
      </c>
      <c r="L19" s="26">
        <v>130</v>
      </c>
      <c r="M19" s="32"/>
      <c r="N19" s="32"/>
      <c r="O19" s="32"/>
      <c r="P19" s="26"/>
      <c r="Q19" s="49">
        <v>404</v>
      </c>
      <c r="R19" s="49"/>
      <c r="S19" s="49"/>
      <c r="T19" s="49"/>
      <c r="U19" s="49"/>
      <c r="V19" s="43" t="s">
        <v>25</v>
      </c>
      <c r="W19" s="49"/>
      <c r="X19" s="3" t="str">
        <f t="shared" si="10"/>
        <v>2026-W27</v>
      </c>
      <c r="Y19" s="48" t="str">
        <f t="shared" ca="1" si="11"/>
        <v>Job Submitted AMDOCS ECD</v>
      </c>
      <c r="Z19" s="2">
        <f t="shared" si="12"/>
        <v>2026</v>
      </c>
      <c r="AA19" s="2"/>
      <c r="AB19" s="42">
        <v>0</v>
      </c>
      <c r="AC19" s="1" t="s">
        <v>47</v>
      </c>
    </row>
    <row r="20" spans="1:29" ht="12.75" customHeight="1" x14ac:dyDescent="0.3">
      <c r="A20" s="3">
        <v>827</v>
      </c>
      <c r="B20" s="49">
        <v>315092</v>
      </c>
      <c r="C20" s="27">
        <v>46203</v>
      </c>
      <c r="D20" s="27">
        <v>46205</v>
      </c>
      <c r="E20" s="28" t="s">
        <v>43</v>
      </c>
      <c r="F20" s="29" t="s">
        <v>27</v>
      </c>
      <c r="G20" s="30" t="s">
        <v>24</v>
      </c>
      <c r="H20" s="31">
        <v>46205</v>
      </c>
      <c r="I20" s="16"/>
      <c r="J20" s="26" t="s">
        <v>22</v>
      </c>
      <c r="K20" s="32">
        <v>1</v>
      </c>
      <c r="L20" s="26">
        <v>147</v>
      </c>
      <c r="M20" s="32"/>
      <c r="N20" s="32"/>
      <c r="O20" s="32"/>
      <c r="P20" s="26"/>
      <c r="Q20" s="49">
        <v>527</v>
      </c>
      <c r="R20" s="49"/>
      <c r="S20" s="49"/>
      <c r="T20" s="49"/>
      <c r="U20" s="49"/>
      <c r="V20" s="43" t="s">
        <v>25</v>
      </c>
      <c r="W20" s="49"/>
      <c r="X20" s="3" t="str">
        <f t="shared" si="10"/>
        <v>2026-W27</v>
      </c>
      <c r="Y20" s="48" t="str">
        <f t="shared" ca="1" si="11"/>
        <v>Job Submitted AMDOCS ECD</v>
      </c>
      <c r="Z20" s="2">
        <f t="shared" si="12"/>
        <v>2026</v>
      </c>
      <c r="AA20" s="2"/>
      <c r="AB20" s="42">
        <v>0</v>
      </c>
      <c r="AC20" s="1" t="s">
        <v>47</v>
      </c>
    </row>
    <row r="21" spans="1:29" ht="12.75" customHeight="1" x14ac:dyDescent="0.3">
      <c r="A21" s="3">
        <v>828</v>
      </c>
      <c r="B21" s="46">
        <v>641355</v>
      </c>
      <c r="C21" s="33">
        <v>46203</v>
      </c>
      <c r="D21" s="33">
        <v>46204</v>
      </c>
      <c r="E21" s="17" t="s">
        <v>44</v>
      </c>
      <c r="F21" s="34" t="s">
        <v>28</v>
      </c>
      <c r="G21" s="46" t="s">
        <v>30</v>
      </c>
      <c r="H21" s="33">
        <v>46204</v>
      </c>
      <c r="I21" s="16"/>
      <c r="J21" s="17" t="s">
        <v>22</v>
      </c>
      <c r="K21" s="47">
        <v>1</v>
      </c>
      <c r="L21" s="46"/>
      <c r="M21" s="22">
        <v>0.9</v>
      </c>
      <c r="N21" s="47">
        <v>1</v>
      </c>
      <c r="O21" s="22">
        <v>1</v>
      </c>
      <c r="P21" s="46">
        <v>100</v>
      </c>
      <c r="Q21" s="46"/>
      <c r="R21" s="46"/>
      <c r="S21" s="46"/>
      <c r="T21" s="46"/>
      <c r="U21" s="46"/>
      <c r="V21" s="41" t="s">
        <v>31</v>
      </c>
      <c r="W21" s="46"/>
      <c r="X21" s="3" t="str">
        <f t="shared" si="10"/>
        <v>2026-W27</v>
      </c>
      <c r="Y21" s="48" t="str">
        <f t="shared" ca="1" si="11"/>
        <v>Job Submitted AMDOCS ECD</v>
      </c>
      <c r="Z21" s="2">
        <f t="shared" si="12"/>
        <v>2026</v>
      </c>
      <c r="AA21" s="2"/>
      <c r="AB21" s="42">
        <v>0</v>
      </c>
      <c r="AC21" s="1" t="s">
        <v>47</v>
      </c>
    </row>
    <row r="22" spans="1:29" ht="12.75" customHeight="1" x14ac:dyDescent="0.3">
      <c r="A22" s="3">
        <v>829</v>
      </c>
      <c r="B22" s="46">
        <v>854823</v>
      </c>
      <c r="C22" s="33">
        <v>46203</v>
      </c>
      <c r="D22" s="33">
        <v>46204</v>
      </c>
      <c r="E22" s="17" t="s">
        <v>44</v>
      </c>
      <c r="F22" s="34" t="s">
        <v>27</v>
      </c>
      <c r="G22" s="46" t="s">
        <v>30</v>
      </c>
      <c r="H22" s="33">
        <v>46204</v>
      </c>
      <c r="I22" s="16"/>
      <c r="J22" s="17" t="s">
        <v>22</v>
      </c>
      <c r="K22" s="47">
        <v>1</v>
      </c>
      <c r="L22" s="46"/>
      <c r="M22" s="22">
        <v>0.91</v>
      </c>
      <c r="N22" s="47">
        <v>1</v>
      </c>
      <c r="O22" s="22">
        <v>1</v>
      </c>
      <c r="P22" s="46">
        <v>1162</v>
      </c>
      <c r="Q22" s="46"/>
      <c r="R22" s="46"/>
      <c r="S22" s="46"/>
      <c r="T22" s="46"/>
      <c r="U22" s="46"/>
      <c r="V22" s="41" t="s">
        <v>31</v>
      </c>
      <c r="W22" s="46"/>
      <c r="X22" s="3" t="str">
        <f t="shared" si="10"/>
        <v>2026-W27</v>
      </c>
      <c r="Y22" s="48" t="str">
        <f t="shared" ca="1" si="11"/>
        <v>Job Submitted AMDOCS ECD</v>
      </c>
      <c r="Z22" s="2">
        <f t="shared" si="12"/>
        <v>2026</v>
      </c>
      <c r="AA22" s="2"/>
      <c r="AB22" s="42">
        <v>0</v>
      </c>
      <c r="AC22" s="1" t="s">
        <v>47</v>
      </c>
    </row>
    <row r="23" spans="1:29" ht="12.75" customHeight="1" x14ac:dyDescent="0.3">
      <c r="A23" s="3">
        <v>830</v>
      </c>
      <c r="B23" s="46">
        <v>73658</v>
      </c>
      <c r="C23" s="33">
        <v>46203</v>
      </c>
      <c r="D23" s="33">
        <v>46205</v>
      </c>
      <c r="E23" s="17" t="s">
        <v>44</v>
      </c>
      <c r="F23" s="34" t="s">
        <v>32</v>
      </c>
      <c r="G23" s="46" t="s">
        <v>30</v>
      </c>
      <c r="H23" s="33">
        <v>46205</v>
      </c>
      <c r="I23" s="16"/>
      <c r="J23" s="17" t="s">
        <v>22</v>
      </c>
      <c r="K23" s="47">
        <v>1</v>
      </c>
      <c r="L23" s="46"/>
      <c r="M23" s="22">
        <v>0.8</v>
      </c>
      <c r="N23" s="47">
        <v>1</v>
      </c>
      <c r="O23" s="22">
        <v>1</v>
      </c>
      <c r="P23" s="46">
        <v>2359</v>
      </c>
      <c r="Q23" s="46"/>
      <c r="R23" s="46"/>
      <c r="S23" s="46"/>
      <c r="T23" s="46"/>
      <c r="U23" s="46"/>
      <c r="V23" s="41" t="s">
        <v>31</v>
      </c>
      <c r="W23" s="46"/>
      <c r="X23" s="3" t="str">
        <f t="shared" si="10"/>
        <v>2026-W27</v>
      </c>
      <c r="Y23" s="48" t="str">
        <f t="shared" ca="1" si="11"/>
        <v>Job Submitted AMDOCS ECD</v>
      </c>
      <c r="Z23" s="2">
        <f t="shared" si="12"/>
        <v>2026</v>
      </c>
      <c r="AA23" s="2"/>
      <c r="AB23" s="42">
        <v>0</v>
      </c>
      <c r="AC23" s="1" t="s">
        <v>47</v>
      </c>
    </row>
    <row r="24" spans="1:29" ht="12.75" customHeight="1" x14ac:dyDescent="0.3">
      <c r="A24" s="3">
        <v>831</v>
      </c>
      <c r="B24" s="46">
        <v>708697</v>
      </c>
      <c r="C24" s="33">
        <v>46204</v>
      </c>
      <c r="D24" s="33">
        <v>46205</v>
      </c>
      <c r="E24" s="17" t="s">
        <v>44</v>
      </c>
      <c r="F24" s="34" t="s">
        <v>27</v>
      </c>
      <c r="G24" s="46" t="s">
        <v>30</v>
      </c>
      <c r="H24" s="33">
        <v>46205</v>
      </c>
      <c r="I24" s="16"/>
      <c r="J24" s="17" t="s">
        <v>22</v>
      </c>
      <c r="K24" s="47">
        <v>1</v>
      </c>
      <c r="L24" s="46"/>
      <c r="M24" s="22">
        <v>0.85</v>
      </c>
      <c r="N24" s="47">
        <v>1</v>
      </c>
      <c r="O24" s="22">
        <v>1</v>
      </c>
      <c r="P24" s="46">
        <v>1731</v>
      </c>
      <c r="Q24" s="46"/>
      <c r="R24" s="46"/>
      <c r="S24" s="46"/>
      <c r="T24" s="46"/>
      <c r="U24" s="46"/>
      <c r="V24" s="41" t="s">
        <v>31</v>
      </c>
      <c r="W24" s="46"/>
      <c r="X24" s="3" t="str">
        <f t="shared" si="10"/>
        <v>2026-W27</v>
      </c>
      <c r="Y24" s="48" t="str">
        <f t="shared" ref="Y24:Y44" ca="1" si="13">IF(J24="Submitted",IF(H24=D24,"Job Submitted AMDOCS ECD",IF(H24&lt;D24,"Submitted " &amp; D24-H24 &amp; " day(s) before ECD","Submitted " &amp; H24-D24 &amp; " day(s) after ECD (lapsed)")),IF(D24&lt;TODAY(),"ECD Lapsed",IF(D24=TODAY(),"Due Today",D24-TODAY() &amp; " days remaining")))</f>
        <v>Job Submitted AMDOCS ECD</v>
      </c>
      <c r="Z24" s="2">
        <f t="shared" ref="Z24:Z44" si="14">YEAR(D24)</f>
        <v>2026</v>
      </c>
      <c r="AA24" s="2"/>
      <c r="AB24" s="42">
        <v>0</v>
      </c>
      <c r="AC24" s="1" t="s">
        <v>47</v>
      </c>
    </row>
    <row r="25" spans="1:29" ht="12.75" customHeight="1" x14ac:dyDescent="0.3">
      <c r="A25" s="3">
        <v>832</v>
      </c>
      <c r="B25" s="46">
        <v>751873</v>
      </c>
      <c r="C25" s="33">
        <v>46204</v>
      </c>
      <c r="D25" s="33">
        <v>46206</v>
      </c>
      <c r="E25" s="17" t="s">
        <v>44</v>
      </c>
      <c r="F25" s="34" t="s">
        <v>35</v>
      </c>
      <c r="G25" s="46" t="s">
        <v>30</v>
      </c>
      <c r="H25" s="33">
        <v>46206</v>
      </c>
      <c r="I25" s="16"/>
      <c r="J25" s="17" t="s">
        <v>22</v>
      </c>
      <c r="K25" s="47">
        <v>1</v>
      </c>
      <c r="L25" s="46"/>
      <c r="M25" s="22">
        <v>0.62</v>
      </c>
      <c r="N25" s="47">
        <v>1</v>
      </c>
      <c r="O25" s="22">
        <v>1</v>
      </c>
      <c r="P25" s="46">
        <v>100</v>
      </c>
      <c r="Q25" s="46"/>
      <c r="R25" s="46"/>
      <c r="S25" s="46"/>
      <c r="T25" s="46"/>
      <c r="U25" s="46"/>
      <c r="V25" s="41" t="s">
        <v>31</v>
      </c>
      <c r="W25" s="46"/>
      <c r="X25" s="3" t="str">
        <f t="shared" si="10"/>
        <v>2026-W27</v>
      </c>
      <c r="Y25" s="48" t="str">
        <f t="shared" ca="1" si="13"/>
        <v>Job Submitted AMDOCS ECD</v>
      </c>
      <c r="Z25" s="2">
        <f t="shared" si="14"/>
        <v>2026</v>
      </c>
      <c r="AA25" s="2"/>
      <c r="AB25" s="42">
        <v>0</v>
      </c>
      <c r="AC25" s="1" t="s">
        <v>47</v>
      </c>
    </row>
    <row r="26" spans="1:29" ht="12.75" customHeight="1" x14ac:dyDescent="0.3">
      <c r="A26" s="3">
        <v>833</v>
      </c>
      <c r="B26" s="46">
        <v>644725</v>
      </c>
      <c r="C26" s="33">
        <v>46204</v>
      </c>
      <c r="D26" s="33">
        <v>46206</v>
      </c>
      <c r="E26" s="17" t="s">
        <v>44</v>
      </c>
      <c r="F26" s="34" t="s">
        <v>35</v>
      </c>
      <c r="G26" s="46" t="s">
        <v>30</v>
      </c>
      <c r="H26" s="33">
        <v>46206</v>
      </c>
      <c r="I26" s="16"/>
      <c r="J26" s="17" t="s">
        <v>22</v>
      </c>
      <c r="K26" s="47">
        <v>1</v>
      </c>
      <c r="L26" s="46"/>
      <c r="M26" s="22">
        <v>0.61</v>
      </c>
      <c r="N26" s="47">
        <v>1</v>
      </c>
      <c r="O26" s="22">
        <v>1</v>
      </c>
      <c r="P26" s="46">
        <v>785</v>
      </c>
      <c r="Q26" s="46"/>
      <c r="R26" s="46"/>
      <c r="S26" s="46"/>
      <c r="T26" s="46"/>
      <c r="U26" s="46"/>
      <c r="V26" s="41" t="s">
        <v>31</v>
      </c>
      <c r="W26" s="46"/>
      <c r="X26" s="3" t="str">
        <f t="shared" si="10"/>
        <v>2026-W27</v>
      </c>
      <c r="Y26" s="48" t="str">
        <f t="shared" ca="1" si="13"/>
        <v>Job Submitted AMDOCS ECD</v>
      </c>
      <c r="Z26" s="2">
        <f t="shared" si="14"/>
        <v>2026</v>
      </c>
      <c r="AA26" s="2"/>
      <c r="AB26" s="42">
        <v>0</v>
      </c>
      <c r="AC26" s="1" t="s">
        <v>47</v>
      </c>
    </row>
    <row r="27" spans="1:29" ht="12.75" customHeight="1" x14ac:dyDescent="0.3">
      <c r="A27" s="3">
        <v>834</v>
      </c>
      <c r="B27" s="46">
        <v>330526</v>
      </c>
      <c r="C27" s="33">
        <v>46204</v>
      </c>
      <c r="D27" s="33">
        <v>46206</v>
      </c>
      <c r="E27" s="17" t="s">
        <v>44</v>
      </c>
      <c r="F27" s="34" t="s">
        <v>27</v>
      </c>
      <c r="G27" s="46" t="s">
        <v>24</v>
      </c>
      <c r="H27" s="33">
        <v>46206</v>
      </c>
      <c r="I27" s="16"/>
      <c r="J27" s="17" t="s">
        <v>22</v>
      </c>
      <c r="K27" s="47">
        <v>1</v>
      </c>
      <c r="L27" s="46">
        <v>171</v>
      </c>
      <c r="M27" s="22">
        <v>0.6</v>
      </c>
      <c r="N27" s="47">
        <v>1</v>
      </c>
      <c r="O27" s="17"/>
      <c r="P27" s="46"/>
      <c r="Q27" s="46">
        <v>586</v>
      </c>
      <c r="R27" s="46"/>
      <c r="S27" s="46"/>
      <c r="T27" s="46"/>
      <c r="U27" s="46"/>
      <c r="V27" s="43" t="s">
        <v>25</v>
      </c>
      <c r="W27" s="46"/>
      <c r="X27" s="3" t="str">
        <f t="shared" ref="X27:X44" si="15">TEXT(D27,"yyyy") &amp; "-W" &amp; TEXT(WEEKNUM(D27,2),"00")</f>
        <v>2026-W27</v>
      </c>
      <c r="Y27" s="48" t="str">
        <f t="shared" ca="1" si="13"/>
        <v>Job Submitted AMDOCS ECD</v>
      </c>
      <c r="Z27" s="2">
        <f t="shared" si="14"/>
        <v>2026</v>
      </c>
      <c r="AA27" s="2"/>
      <c r="AB27" s="42">
        <v>0</v>
      </c>
      <c r="AC27" s="1" t="s">
        <v>47</v>
      </c>
    </row>
    <row r="28" spans="1:29" ht="12.75" customHeight="1" x14ac:dyDescent="0.3">
      <c r="A28" s="3">
        <v>835</v>
      </c>
      <c r="B28" s="46">
        <v>272257</v>
      </c>
      <c r="C28" s="33">
        <v>46204</v>
      </c>
      <c r="D28" s="33">
        <v>46209</v>
      </c>
      <c r="E28" s="17" t="s">
        <v>44</v>
      </c>
      <c r="F28" s="34" t="s">
        <v>35</v>
      </c>
      <c r="G28" s="46" t="s">
        <v>21</v>
      </c>
      <c r="H28" s="33">
        <v>46209</v>
      </c>
      <c r="I28" s="16"/>
      <c r="J28" s="17" t="s">
        <v>22</v>
      </c>
      <c r="K28" s="47">
        <v>1</v>
      </c>
      <c r="L28" s="46">
        <v>70</v>
      </c>
      <c r="M28" s="17"/>
      <c r="N28" s="47">
        <v>1</v>
      </c>
      <c r="O28" s="17"/>
      <c r="P28" s="46">
        <v>15000</v>
      </c>
      <c r="Q28" s="46"/>
      <c r="R28" s="46"/>
      <c r="S28" s="46"/>
      <c r="T28" s="46"/>
      <c r="U28" s="46"/>
      <c r="V28" s="40" t="s">
        <v>21</v>
      </c>
      <c r="W28" s="46"/>
      <c r="X28" s="3" t="str">
        <f t="shared" si="15"/>
        <v>2026-W28</v>
      </c>
      <c r="Y28" s="48" t="str">
        <f t="shared" ca="1" si="13"/>
        <v>Job Submitted AMDOCS ECD</v>
      </c>
      <c r="Z28" s="2">
        <f t="shared" si="14"/>
        <v>2026</v>
      </c>
      <c r="AA28" s="2"/>
      <c r="AB28" s="42">
        <v>0</v>
      </c>
      <c r="AC28" s="1" t="s">
        <v>48</v>
      </c>
    </row>
    <row r="29" spans="1:29" ht="12.75" customHeight="1" x14ac:dyDescent="0.3">
      <c r="A29" s="3">
        <v>836</v>
      </c>
      <c r="B29" s="46">
        <v>512204</v>
      </c>
      <c r="C29" s="33">
        <v>46209</v>
      </c>
      <c r="D29" s="33">
        <v>46211</v>
      </c>
      <c r="E29" s="17" t="s">
        <v>44</v>
      </c>
      <c r="F29" s="34" t="s">
        <v>32</v>
      </c>
      <c r="G29" s="46" t="s">
        <v>30</v>
      </c>
      <c r="H29" s="33">
        <v>46211</v>
      </c>
      <c r="I29" s="16"/>
      <c r="J29" s="17" t="s">
        <v>22</v>
      </c>
      <c r="K29" s="47">
        <v>1</v>
      </c>
      <c r="L29" s="46"/>
      <c r="M29" s="22">
        <v>0.8</v>
      </c>
      <c r="N29" s="47">
        <v>1</v>
      </c>
      <c r="O29" s="22">
        <v>1</v>
      </c>
      <c r="P29" s="46">
        <v>1345</v>
      </c>
      <c r="Q29" s="46"/>
      <c r="R29" s="46"/>
      <c r="S29" s="46"/>
      <c r="T29" s="46"/>
      <c r="U29" s="46"/>
      <c r="V29" s="41" t="s">
        <v>31</v>
      </c>
      <c r="W29" s="46"/>
      <c r="X29" s="3" t="str">
        <f t="shared" si="15"/>
        <v>2026-W28</v>
      </c>
      <c r="Y29" s="48" t="str">
        <f t="shared" ca="1" si="13"/>
        <v>Job Submitted AMDOCS ECD</v>
      </c>
      <c r="Z29" s="2">
        <f t="shared" si="14"/>
        <v>2026</v>
      </c>
      <c r="AA29" s="2"/>
      <c r="AB29" s="42">
        <v>0</v>
      </c>
      <c r="AC29" s="1" t="s">
        <v>47</v>
      </c>
    </row>
    <row r="30" spans="1:29" ht="12.75" customHeight="1" x14ac:dyDescent="0.3">
      <c r="A30" s="3">
        <v>837</v>
      </c>
      <c r="B30" s="46">
        <v>373529</v>
      </c>
      <c r="C30" s="33">
        <v>46209</v>
      </c>
      <c r="D30" s="33">
        <v>46211</v>
      </c>
      <c r="E30" s="17" t="s">
        <v>44</v>
      </c>
      <c r="F30" s="34" t="s">
        <v>32</v>
      </c>
      <c r="G30" s="46" t="s">
        <v>30</v>
      </c>
      <c r="H30" s="33">
        <v>46211</v>
      </c>
      <c r="I30" s="16"/>
      <c r="J30" s="17" t="s">
        <v>22</v>
      </c>
      <c r="K30" s="47">
        <v>1</v>
      </c>
      <c r="L30" s="46"/>
      <c r="M30" s="22">
        <v>0.8</v>
      </c>
      <c r="N30" s="47">
        <v>1</v>
      </c>
      <c r="O30" s="22">
        <v>1</v>
      </c>
      <c r="P30" s="46">
        <v>100</v>
      </c>
      <c r="Q30" s="46"/>
      <c r="R30" s="46"/>
      <c r="S30" s="46"/>
      <c r="T30" s="46"/>
      <c r="U30" s="46"/>
      <c r="V30" s="41" t="s">
        <v>31</v>
      </c>
      <c r="W30" s="46"/>
      <c r="X30" s="3" t="str">
        <f t="shared" si="15"/>
        <v>2026-W28</v>
      </c>
      <c r="Y30" s="48" t="str">
        <f t="shared" ca="1" si="13"/>
        <v>Job Submitted AMDOCS ECD</v>
      </c>
      <c r="Z30" s="2">
        <f t="shared" si="14"/>
        <v>2026</v>
      </c>
      <c r="AA30" s="2"/>
      <c r="AB30" s="42">
        <v>0</v>
      </c>
      <c r="AC30" s="1" t="s">
        <v>47</v>
      </c>
    </row>
    <row r="31" spans="1:29" ht="12.75" customHeight="1" x14ac:dyDescent="0.3">
      <c r="A31" s="3">
        <v>838</v>
      </c>
      <c r="B31" s="46">
        <v>219062</v>
      </c>
      <c r="C31" s="33">
        <v>46209</v>
      </c>
      <c r="D31" s="33">
        <v>46211</v>
      </c>
      <c r="E31" s="17" t="s">
        <v>44</v>
      </c>
      <c r="F31" s="34" t="s">
        <v>32</v>
      </c>
      <c r="G31" s="46" t="s">
        <v>30</v>
      </c>
      <c r="H31" s="33">
        <v>46211</v>
      </c>
      <c r="I31" s="16"/>
      <c r="J31" s="17" t="s">
        <v>22</v>
      </c>
      <c r="K31" s="47">
        <v>1</v>
      </c>
      <c r="L31" s="46"/>
      <c r="M31" s="17"/>
      <c r="N31" s="47">
        <v>1</v>
      </c>
      <c r="O31" s="22">
        <v>1</v>
      </c>
      <c r="P31" s="46">
        <v>185</v>
      </c>
      <c r="Q31" s="46"/>
      <c r="R31" s="46"/>
      <c r="S31" s="46"/>
      <c r="T31" s="46"/>
      <c r="U31" s="46"/>
      <c r="V31" s="41" t="s">
        <v>31</v>
      </c>
      <c r="W31" s="46"/>
      <c r="X31" s="3" t="str">
        <f t="shared" si="15"/>
        <v>2026-W28</v>
      </c>
      <c r="Y31" s="48" t="str">
        <f t="shared" ca="1" si="13"/>
        <v>Job Submitted AMDOCS ECD</v>
      </c>
      <c r="Z31" s="2">
        <f t="shared" si="14"/>
        <v>2026</v>
      </c>
      <c r="AA31" s="2"/>
      <c r="AB31" s="42">
        <v>0</v>
      </c>
      <c r="AC31" s="1" t="s">
        <v>48</v>
      </c>
    </row>
    <row r="32" spans="1:29" ht="12.75" customHeight="1" x14ac:dyDescent="0.3">
      <c r="A32" s="3">
        <v>839</v>
      </c>
      <c r="B32" s="46">
        <v>238358</v>
      </c>
      <c r="C32" s="33">
        <v>46210</v>
      </c>
      <c r="D32" s="33">
        <v>46211</v>
      </c>
      <c r="E32" s="17" t="s">
        <v>44</v>
      </c>
      <c r="F32" s="34" t="s">
        <v>27</v>
      </c>
      <c r="G32" s="46" t="s">
        <v>30</v>
      </c>
      <c r="H32" s="33">
        <v>46211</v>
      </c>
      <c r="I32" s="16"/>
      <c r="J32" s="17" t="s">
        <v>22</v>
      </c>
      <c r="K32" s="47">
        <v>1</v>
      </c>
      <c r="L32" s="46"/>
      <c r="M32" s="17"/>
      <c r="N32" s="47">
        <v>1</v>
      </c>
      <c r="O32" s="22">
        <v>1</v>
      </c>
      <c r="P32" s="46">
        <v>100</v>
      </c>
      <c r="Q32" s="46"/>
      <c r="R32" s="46"/>
      <c r="S32" s="46"/>
      <c r="T32" s="46"/>
      <c r="U32" s="46"/>
      <c r="V32" s="41" t="s">
        <v>31</v>
      </c>
      <c r="W32" s="46"/>
      <c r="X32" s="3" t="str">
        <f t="shared" si="15"/>
        <v>2026-W28</v>
      </c>
      <c r="Y32" s="48" t="str">
        <f t="shared" ca="1" si="13"/>
        <v>Job Submitted AMDOCS ECD</v>
      </c>
      <c r="Z32" s="2">
        <f t="shared" si="14"/>
        <v>2026</v>
      </c>
      <c r="AA32" s="2"/>
      <c r="AB32" s="42">
        <v>0</v>
      </c>
      <c r="AC32" s="1" t="s">
        <v>48</v>
      </c>
    </row>
    <row r="33" spans="1:38" ht="12.75" customHeight="1" x14ac:dyDescent="0.3">
      <c r="A33" s="3">
        <v>840</v>
      </c>
      <c r="B33" s="46">
        <v>189265</v>
      </c>
      <c r="C33" s="33">
        <v>46210</v>
      </c>
      <c r="D33" s="33">
        <v>46212</v>
      </c>
      <c r="E33" s="17" t="s">
        <v>44</v>
      </c>
      <c r="F33" s="34" t="s">
        <v>27</v>
      </c>
      <c r="G33" s="46" t="s">
        <v>24</v>
      </c>
      <c r="H33" s="33">
        <v>46212</v>
      </c>
      <c r="I33" s="16"/>
      <c r="J33" s="17" t="s">
        <v>22</v>
      </c>
      <c r="K33" s="47">
        <v>1</v>
      </c>
      <c r="L33" s="46">
        <v>111</v>
      </c>
      <c r="M33" s="22">
        <v>0.87</v>
      </c>
      <c r="N33" s="47">
        <v>1</v>
      </c>
      <c r="O33" s="22">
        <v>1</v>
      </c>
      <c r="P33" s="46"/>
      <c r="Q33" s="46">
        <v>238</v>
      </c>
      <c r="R33" s="46"/>
      <c r="S33" s="46"/>
      <c r="T33" s="46"/>
      <c r="U33" s="46"/>
      <c r="V33" s="43" t="s">
        <v>25</v>
      </c>
      <c r="W33" s="46"/>
      <c r="X33" s="3" t="str">
        <f t="shared" si="15"/>
        <v>2026-W28</v>
      </c>
      <c r="Y33" s="48" t="str">
        <f t="shared" ca="1" si="13"/>
        <v>Job Submitted AMDOCS ECD</v>
      </c>
      <c r="Z33" s="2">
        <f t="shared" si="14"/>
        <v>2026</v>
      </c>
      <c r="AA33" s="2"/>
      <c r="AB33" s="42">
        <v>0</v>
      </c>
      <c r="AC33" s="1" t="s">
        <v>48</v>
      </c>
    </row>
    <row r="34" spans="1:38" ht="12.75" customHeight="1" x14ac:dyDescent="0.3">
      <c r="A34" s="3">
        <v>841</v>
      </c>
      <c r="B34" s="46">
        <v>452997</v>
      </c>
      <c r="C34" s="33">
        <v>46211</v>
      </c>
      <c r="D34" s="33">
        <v>46213</v>
      </c>
      <c r="E34" s="17" t="s">
        <v>44</v>
      </c>
      <c r="F34" s="34" t="s">
        <v>27</v>
      </c>
      <c r="G34" s="46" t="s">
        <v>24</v>
      </c>
      <c r="H34" s="33">
        <v>46213</v>
      </c>
      <c r="I34" s="16"/>
      <c r="J34" s="17" t="s">
        <v>22</v>
      </c>
      <c r="K34" s="47">
        <v>1</v>
      </c>
      <c r="L34" s="46">
        <v>104</v>
      </c>
      <c r="M34" s="17"/>
      <c r="N34" s="47">
        <v>1</v>
      </c>
      <c r="O34" s="22"/>
      <c r="P34" s="46"/>
      <c r="Q34" s="46">
        <v>380</v>
      </c>
      <c r="R34" s="46"/>
      <c r="S34" s="46"/>
      <c r="T34" s="46"/>
      <c r="U34" s="46"/>
      <c r="V34" s="43" t="s">
        <v>25</v>
      </c>
      <c r="W34" s="46"/>
      <c r="X34" s="3" t="str">
        <f t="shared" si="15"/>
        <v>2026-W28</v>
      </c>
      <c r="Y34" s="48" t="str">
        <f t="shared" ca="1" si="13"/>
        <v>Job Submitted AMDOCS ECD</v>
      </c>
      <c r="Z34" s="2">
        <f t="shared" si="14"/>
        <v>2026</v>
      </c>
      <c r="AA34" s="2"/>
      <c r="AB34" s="42">
        <v>0</v>
      </c>
      <c r="AC34" s="1" t="s">
        <v>48</v>
      </c>
    </row>
    <row r="35" spans="1:38" ht="12.75" customHeight="1" x14ac:dyDescent="0.3">
      <c r="A35" s="3">
        <v>842</v>
      </c>
      <c r="B35" s="46">
        <v>321163</v>
      </c>
      <c r="C35" s="33">
        <v>46212</v>
      </c>
      <c r="D35" s="33">
        <v>46214</v>
      </c>
      <c r="E35" s="17" t="s">
        <v>44</v>
      </c>
      <c r="F35" s="34" t="s">
        <v>27</v>
      </c>
      <c r="G35" s="46" t="s">
        <v>24</v>
      </c>
      <c r="H35" s="33">
        <v>46214</v>
      </c>
      <c r="I35" s="16"/>
      <c r="J35" s="17" t="s">
        <v>22</v>
      </c>
      <c r="K35" s="47">
        <v>1</v>
      </c>
      <c r="L35" s="46">
        <v>145</v>
      </c>
      <c r="M35" s="17"/>
      <c r="N35" s="47">
        <v>1</v>
      </c>
      <c r="O35" s="22">
        <v>1</v>
      </c>
      <c r="P35" s="46"/>
      <c r="Q35" s="46">
        <v>395</v>
      </c>
      <c r="R35" s="46"/>
      <c r="S35" s="46"/>
      <c r="T35" s="46"/>
      <c r="U35" s="46"/>
      <c r="V35" s="43" t="s">
        <v>25</v>
      </c>
      <c r="W35" s="46"/>
      <c r="X35" s="3" t="str">
        <f t="shared" si="15"/>
        <v>2026-W28</v>
      </c>
      <c r="Y35" s="48" t="str">
        <f t="shared" ca="1" si="13"/>
        <v>Job Submitted AMDOCS ECD</v>
      </c>
      <c r="Z35" s="2">
        <f t="shared" si="14"/>
        <v>2026</v>
      </c>
      <c r="AA35" s="2"/>
      <c r="AB35" s="42">
        <v>0</v>
      </c>
      <c r="AC35" s="1" t="s">
        <v>48</v>
      </c>
    </row>
    <row r="36" spans="1:38" ht="12.75" customHeight="1" x14ac:dyDescent="0.3">
      <c r="A36" s="3">
        <v>843</v>
      </c>
      <c r="B36" s="46">
        <v>516764</v>
      </c>
      <c r="C36" s="33">
        <v>46215</v>
      </c>
      <c r="D36" s="33">
        <v>46216</v>
      </c>
      <c r="E36" s="17" t="s">
        <v>44</v>
      </c>
      <c r="F36" s="34" t="s">
        <v>27</v>
      </c>
      <c r="G36" s="46" t="s">
        <v>30</v>
      </c>
      <c r="H36" s="33">
        <v>46216</v>
      </c>
      <c r="I36" s="16"/>
      <c r="J36" s="17" t="s">
        <v>22</v>
      </c>
      <c r="K36" s="47">
        <v>1</v>
      </c>
      <c r="L36" s="46"/>
      <c r="M36" s="17"/>
      <c r="N36" s="47"/>
      <c r="O36" s="22"/>
      <c r="P36" s="46"/>
      <c r="Q36" s="46"/>
      <c r="R36" s="46"/>
      <c r="S36" s="46"/>
      <c r="T36" s="46"/>
      <c r="U36" s="46"/>
      <c r="V36" s="41" t="s">
        <v>31</v>
      </c>
      <c r="W36" s="46"/>
      <c r="X36" s="3" t="str">
        <f t="shared" si="15"/>
        <v>2026-W29</v>
      </c>
      <c r="Y36" s="48" t="str">
        <f t="shared" ca="1" si="13"/>
        <v>Job Submitted AMDOCS ECD</v>
      </c>
      <c r="Z36" s="2">
        <f t="shared" si="14"/>
        <v>2026</v>
      </c>
      <c r="AA36" s="2"/>
      <c r="AB36" s="42">
        <v>0</v>
      </c>
      <c r="AC36" s="1" t="s">
        <v>48</v>
      </c>
    </row>
    <row r="37" spans="1:38" ht="12.75" customHeight="1" x14ac:dyDescent="0.3">
      <c r="A37" s="3">
        <v>844</v>
      </c>
      <c r="B37" s="46">
        <v>884935</v>
      </c>
      <c r="C37" s="33">
        <v>46215</v>
      </c>
      <c r="D37" s="33">
        <v>46217</v>
      </c>
      <c r="E37" s="17" t="s">
        <v>44</v>
      </c>
      <c r="F37" s="34" t="s">
        <v>27</v>
      </c>
      <c r="G37" s="46" t="s">
        <v>24</v>
      </c>
      <c r="H37" s="33">
        <v>46217</v>
      </c>
      <c r="I37" s="16"/>
      <c r="J37" s="17" t="s">
        <v>22</v>
      </c>
      <c r="K37" s="47">
        <v>1</v>
      </c>
      <c r="L37" s="46">
        <v>174</v>
      </c>
      <c r="M37" s="17"/>
      <c r="N37" s="47">
        <v>1</v>
      </c>
      <c r="O37" s="22"/>
      <c r="P37" s="46"/>
      <c r="Q37" s="46">
        <v>468</v>
      </c>
      <c r="R37" s="46"/>
      <c r="S37" s="46"/>
      <c r="T37" s="46"/>
      <c r="U37" s="46"/>
      <c r="V37" s="43" t="s">
        <v>25</v>
      </c>
      <c r="W37" s="46"/>
      <c r="X37" s="3" t="str">
        <f t="shared" si="15"/>
        <v>2026-W29</v>
      </c>
      <c r="Y37" s="48" t="str">
        <f t="shared" ca="1" si="13"/>
        <v>Job Submitted AMDOCS ECD</v>
      </c>
      <c r="Z37" s="2">
        <f t="shared" si="14"/>
        <v>2026</v>
      </c>
      <c r="AA37" s="2"/>
      <c r="AB37" s="42">
        <v>0</v>
      </c>
      <c r="AC37" s="1" t="s">
        <v>48</v>
      </c>
    </row>
    <row r="38" spans="1:38" ht="12.75" customHeight="1" x14ac:dyDescent="0.3">
      <c r="A38" s="3">
        <v>845</v>
      </c>
      <c r="B38" s="46">
        <v>719621</v>
      </c>
      <c r="C38" s="33">
        <v>46216</v>
      </c>
      <c r="D38" s="33">
        <v>46218</v>
      </c>
      <c r="E38" s="17" t="s">
        <v>44</v>
      </c>
      <c r="F38" s="34" t="s">
        <v>32</v>
      </c>
      <c r="G38" s="46" t="s">
        <v>30</v>
      </c>
      <c r="H38" s="33">
        <v>46218</v>
      </c>
      <c r="I38" s="16"/>
      <c r="J38" s="17" t="s">
        <v>22</v>
      </c>
      <c r="K38" s="47">
        <v>1</v>
      </c>
      <c r="L38" s="46"/>
      <c r="M38" s="17"/>
      <c r="N38" s="47"/>
      <c r="O38" s="22"/>
      <c r="P38" s="46"/>
      <c r="Q38" s="46"/>
      <c r="R38" s="46"/>
      <c r="S38" s="46"/>
      <c r="T38" s="46"/>
      <c r="U38" s="46"/>
      <c r="V38" s="41" t="s">
        <v>31</v>
      </c>
      <c r="W38" s="46"/>
      <c r="X38" s="3" t="str">
        <f t="shared" si="15"/>
        <v>2026-W29</v>
      </c>
      <c r="Y38" s="48" t="str">
        <f t="shared" ca="1" si="13"/>
        <v>Job Submitted AMDOCS ECD</v>
      </c>
      <c r="Z38" s="2">
        <f t="shared" si="14"/>
        <v>2026</v>
      </c>
      <c r="AA38" s="2"/>
      <c r="AB38" s="42">
        <v>0</v>
      </c>
      <c r="AC38" s="1" t="s">
        <v>48</v>
      </c>
    </row>
    <row r="39" spans="1:38" ht="12.75" customHeight="1" x14ac:dyDescent="0.3">
      <c r="A39" s="3">
        <v>846</v>
      </c>
      <c r="B39" s="46">
        <v>800169</v>
      </c>
      <c r="C39" s="33">
        <v>46217</v>
      </c>
      <c r="D39" s="33">
        <v>46218</v>
      </c>
      <c r="E39" s="17" t="s">
        <v>44</v>
      </c>
      <c r="F39" s="34" t="s">
        <v>35</v>
      </c>
      <c r="G39" s="46" t="s">
        <v>30</v>
      </c>
      <c r="H39" s="33">
        <v>46218</v>
      </c>
      <c r="I39" s="16"/>
      <c r="J39" s="17" t="s">
        <v>22</v>
      </c>
      <c r="K39" s="47">
        <v>1</v>
      </c>
      <c r="L39" s="46"/>
      <c r="M39" s="17"/>
      <c r="N39" s="47"/>
      <c r="O39" s="22"/>
      <c r="P39" s="46"/>
      <c r="Q39" s="46"/>
      <c r="R39" s="46"/>
      <c r="S39" s="46"/>
      <c r="T39" s="46"/>
      <c r="U39" s="46"/>
      <c r="V39" s="41" t="s">
        <v>31</v>
      </c>
      <c r="W39" s="46"/>
      <c r="X39" s="3" t="str">
        <f t="shared" si="15"/>
        <v>2026-W29</v>
      </c>
      <c r="Y39" s="48" t="str">
        <f t="shared" ca="1" si="13"/>
        <v>Job Submitted AMDOCS ECD</v>
      </c>
      <c r="Z39" s="2">
        <f t="shared" si="14"/>
        <v>2026</v>
      </c>
      <c r="AA39" s="2"/>
      <c r="AB39" s="42">
        <v>0</v>
      </c>
      <c r="AC39" s="1" t="s">
        <v>48</v>
      </c>
    </row>
    <row r="40" spans="1:38" ht="12.75" customHeight="1" x14ac:dyDescent="0.3">
      <c r="A40" s="3">
        <v>847</v>
      </c>
      <c r="B40" s="46">
        <v>163769</v>
      </c>
      <c r="C40" s="33">
        <v>46217</v>
      </c>
      <c r="D40" s="33">
        <v>46218</v>
      </c>
      <c r="E40" s="17" t="s">
        <v>44</v>
      </c>
      <c r="F40" s="34" t="s">
        <v>35</v>
      </c>
      <c r="G40" s="46" t="s">
        <v>30</v>
      </c>
      <c r="H40" s="33">
        <v>46218</v>
      </c>
      <c r="I40" s="16"/>
      <c r="J40" s="17" t="s">
        <v>22</v>
      </c>
      <c r="K40" s="47">
        <v>1</v>
      </c>
      <c r="L40" s="46"/>
      <c r="M40" s="17"/>
      <c r="N40" s="47"/>
      <c r="O40" s="22"/>
      <c r="P40" s="46"/>
      <c r="Q40" s="46"/>
      <c r="R40" s="46"/>
      <c r="S40" s="46"/>
      <c r="T40" s="46"/>
      <c r="U40" s="46"/>
      <c r="V40" s="41" t="s">
        <v>31</v>
      </c>
      <c r="W40" s="46"/>
      <c r="X40" s="3" t="str">
        <f t="shared" si="15"/>
        <v>2026-W29</v>
      </c>
      <c r="Y40" s="48" t="str">
        <f t="shared" ca="1" si="13"/>
        <v>Job Submitted AMDOCS ECD</v>
      </c>
      <c r="Z40" s="2">
        <f t="shared" si="14"/>
        <v>2026</v>
      </c>
      <c r="AA40" s="2"/>
      <c r="AB40" s="42">
        <v>0</v>
      </c>
      <c r="AC40" s="1" t="s">
        <v>48</v>
      </c>
    </row>
    <row r="41" spans="1:38" ht="12.75" customHeight="1" x14ac:dyDescent="0.3">
      <c r="A41" s="3">
        <v>848</v>
      </c>
      <c r="B41" s="46">
        <v>369126</v>
      </c>
      <c r="C41" s="33">
        <v>46217</v>
      </c>
      <c r="D41" s="33">
        <v>46219</v>
      </c>
      <c r="E41" s="17" t="s">
        <v>44</v>
      </c>
      <c r="F41" s="34" t="s">
        <v>35</v>
      </c>
      <c r="G41" s="46" t="s">
        <v>24</v>
      </c>
      <c r="H41" s="33"/>
      <c r="I41" s="16"/>
      <c r="J41" s="17" t="s">
        <v>26</v>
      </c>
      <c r="K41" s="47"/>
      <c r="L41" s="46">
        <v>90</v>
      </c>
      <c r="M41" s="17"/>
      <c r="N41" s="47"/>
      <c r="O41" s="22"/>
      <c r="P41" s="46"/>
      <c r="Q41" s="46">
        <v>289</v>
      </c>
      <c r="R41" s="46"/>
      <c r="S41" s="46"/>
      <c r="T41" s="46"/>
      <c r="U41" s="46"/>
      <c r="V41" s="43" t="s">
        <v>25</v>
      </c>
      <c r="W41" s="46"/>
      <c r="X41" s="3" t="str">
        <f t="shared" si="15"/>
        <v>2026-W29</v>
      </c>
      <c r="Y41" s="48" t="str">
        <f t="shared" ca="1" si="13"/>
        <v>ECD Lapsed</v>
      </c>
      <c r="Z41" s="2">
        <f t="shared" si="14"/>
        <v>2026</v>
      </c>
      <c r="AA41" s="2"/>
      <c r="AB41" s="42">
        <v>0</v>
      </c>
      <c r="AC41" s="1" t="s">
        <v>26</v>
      </c>
    </row>
    <row r="42" spans="1:38" ht="12.75" customHeight="1" x14ac:dyDescent="0.3">
      <c r="A42" s="3">
        <v>849</v>
      </c>
      <c r="B42" s="46">
        <v>671056</v>
      </c>
      <c r="C42" s="33">
        <v>46217</v>
      </c>
      <c r="D42" s="33">
        <v>46219</v>
      </c>
      <c r="E42" s="17" t="s">
        <v>44</v>
      </c>
      <c r="F42" s="34" t="s">
        <v>35</v>
      </c>
      <c r="G42" s="46" t="s">
        <v>24</v>
      </c>
      <c r="H42" s="33"/>
      <c r="I42" s="16"/>
      <c r="J42" s="17" t="s">
        <v>26</v>
      </c>
      <c r="K42" s="47"/>
      <c r="L42" s="46">
        <v>39</v>
      </c>
      <c r="M42" s="17"/>
      <c r="N42" s="47"/>
      <c r="O42" s="22"/>
      <c r="P42" s="46"/>
      <c r="Q42" s="46">
        <v>144</v>
      </c>
      <c r="R42" s="46"/>
      <c r="S42" s="46"/>
      <c r="T42" s="46"/>
      <c r="U42" s="46"/>
      <c r="V42" s="43" t="s">
        <v>25</v>
      </c>
      <c r="W42" s="46"/>
      <c r="X42" s="3" t="str">
        <f t="shared" si="15"/>
        <v>2026-W29</v>
      </c>
      <c r="Y42" s="48" t="str">
        <f t="shared" ca="1" si="13"/>
        <v>ECD Lapsed</v>
      </c>
      <c r="Z42" s="2">
        <f t="shared" si="14"/>
        <v>2026</v>
      </c>
      <c r="AA42" s="2"/>
      <c r="AB42" s="42">
        <v>0</v>
      </c>
      <c r="AC42" s="1" t="s">
        <v>26</v>
      </c>
    </row>
    <row r="43" spans="1:38" ht="12.75" customHeight="1" x14ac:dyDescent="0.3">
      <c r="A43" s="3">
        <v>850</v>
      </c>
      <c r="B43" s="46">
        <v>646442</v>
      </c>
      <c r="C43" s="33">
        <v>46217</v>
      </c>
      <c r="D43" s="33">
        <v>46219</v>
      </c>
      <c r="E43" s="17" t="s">
        <v>44</v>
      </c>
      <c r="F43" s="34" t="s">
        <v>35</v>
      </c>
      <c r="G43" s="46" t="s">
        <v>24</v>
      </c>
      <c r="H43" s="33"/>
      <c r="I43" s="16"/>
      <c r="J43" s="17" t="s">
        <v>26</v>
      </c>
      <c r="K43" s="47"/>
      <c r="L43" s="46">
        <v>83</v>
      </c>
      <c r="M43" s="17"/>
      <c r="N43" s="47"/>
      <c r="O43" s="22"/>
      <c r="P43" s="46"/>
      <c r="Q43" s="46">
        <v>341</v>
      </c>
      <c r="R43" s="46"/>
      <c r="S43" s="46"/>
      <c r="T43" s="46"/>
      <c r="U43" s="46"/>
      <c r="V43" s="43" t="s">
        <v>25</v>
      </c>
      <c r="W43" s="46"/>
      <c r="X43" s="3" t="str">
        <f t="shared" si="15"/>
        <v>2026-W29</v>
      </c>
      <c r="Y43" s="48" t="str">
        <f t="shared" ca="1" si="13"/>
        <v>ECD Lapsed</v>
      </c>
      <c r="Z43" s="2">
        <f t="shared" si="14"/>
        <v>2026</v>
      </c>
      <c r="AA43" s="2"/>
      <c r="AB43" s="42">
        <v>0</v>
      </c>
      <c r="AC43" s="1" t="s">
        <v>26</v>
      </c>
    </row>
    <row r="44" spans="1:38" ht="12.75" customHeight="1" x14ac:dyDescent="0.3">
      <c r="A44" s="3">
        <v>851</v>
      </c>
      <c r="B44" s="46">
        <v>763701</v>
      </c>
      <c r="C44" s="33">
        <v>46219</v>
      </c>
      <c r="D44" s="33">
        <v>46220</v>
      </c>
      <c r="E44" s="17" t="s">
        <v>44</v>
      </c>
      <c r="F44" s="34" t="s">
        <v>28</v>
      </c>
      <c r="G44" s="46" t="s">
        <v>24</v>
      </c>
      <c r="H44" s="33"/>
      <c r="I44" s="16"/>
      <c r="J44" s="17" t="s">
        <v>26</v>
      </c>
      <c r="K44" s="47"/>
      <c r="L44" s="46">
        <v>116</v>
      </c>
      <c r="M44" s="17"/>
      <c r="N44" s="47"/>
      <c r="O44" s="22"/>
      <c r="P44" s="46"/>
      <c r="Q44" s="46">
        <v>295</v>
      </c>
      <c r="R44" s="46"/>
      <c r="S44" s="46"/>
      <c r="T44" s="46"/>
      <c r="U44" s="46"/>
      <c r="V44" s="43" t="s">
        <v>25</v>
      </c>
      <c r="W44" s="46"/>
      <c r="X44" s="3" t="str">
        <f t="shared" si="15"/>
        <v>2026-W29</v>
      </c>
      <c r="Y44" s="48" t="str">
        <f t="shared" ca="1" si="13"/>
        <v>Due Today</v>
      </c>
      <c r="Z44" s="2">
        <f t="shared" si="14"/>
        <v>2026</v>
      </c>
      <c r="AA44" s="2"/>
      <c r="AB44" s="42">
        <v>0</v>
      </c>
      <c r="AC44" s="1" t="s">
        <v>26</v>
      </c>
    </row>
    <row r="45" spans="1:38" ht="12.75" customHeight="1" x14ac:dyDescent="0.3">
      <c r="A45" s="3">
        <v>852</v>
      </c>
      <c r="B45" s="46">
        <v>63475</v>
      </c>
      <c r="C45" s="33">
        <v>46219</v>
      </c>
      <c r="D45" s="33">
        <v>46221</v>
      </c>
      <c r="E45" s="17" t="s">
        <v>44</v>
      </c>
      <c r="F45" s="34" t="s">
        <v>27</v>
      </c>
      <c r="G45" s="46" t="s">
        <v>24</v>
      </c>
      <c r="H45" s="33"/>
      <c r="I45" s="16"/>
      <c r="J45" s="17" t="s">
        <v>26</v>
      </c>
      <c r="K45" s="47"/>
      <c r="L45" s="46">
        <v>159</v>
      </c>
      <c r="M45" s="17"/>
      <c r="N45" s="47"/>
      <c r="O45" s="22"/>
      <c r="P45" s="46"/>
      <c r="Q45" s="46">
        <v>449</v>
      </c>
      <c r="R45" s="46"/>
      <c r="S45" s="46"/>
      <c r="T45" s="46"/>
      <c r="U45" s="46"/>
      <c r="V45" s="43" t="s">
        <v>25</v>
      </c>
      <c r="W45" s="46"/>
      <c r="X45" s="3" t="str">
        <f t="shared" ref="X45:X54" si="16">TEXT(D45,"yyyy") &amp; "-W" &amp; TEXT(WEEKNUM(D45,2),"00")</f>
        <v>2026-W29</v>
      </c>
      <c r="Y45" s="48" t="str">
        <f t="shared" ref="Y45:Y54" ca="1" si="17">IF(J45="Submitted",IF(H45=D45,"Job Submitted AMDOCS ECD",IF(H45&lt;D45,"Submitted " &amp; D45-H45 &amp; " day(s) before ECD","Submitted " &amp; H45-D45 &amp; " day(s) after ECD (lapsed)")),IF(D45&lt;TODAY(),"ECD Lapsed",IF(D45=TODAY(),"Due Today",D45-TODAY() &amp; " days remaining")))</f>
        <v>1 days remaining</v>
      </c>
      <c r="Z45" s="2">
        <f t="shared" ref="Z45:Z54" si="18">YEAR(D45)</f>
        <v>2026</v>
      </c>
      <c r="AA45" s="2"/>
      <c r="AB45" s="42">
        <v>0</v>
      </c>
      <c r="AC45" s="1" t="s">
        <v>26</v>
      </c>
    </row>
    <row r="46" spans="1:38" ht="12.75" customHeight="1" x14ac:dyDescent="0.3">
      <c r="A46" s="55">
        <v>12</v>
      </c>
      <c r="B46" s="55">
        <v>889356</v>
      </c>
      <c r="C46" s="56">
        <v>46190</v>
      </c>
      <c r="D46" s="56">
        <v>46192</v>
      </c>
      <c r="E46" s="55" t="s">
        <v>43</v>
      </c>
      <c r="F46" s="55" t="s">
        <v>35</v>
      </c>
      <c r="G46" s="55" t="s">
        <v>55</v>
      </c>
      <c r="H46" s="33">
        <v>46192</v>
      </c>
      <c r="I46" s="55"/>
      <c r="J46" s="55" t="s">
        <v>22</v>
      </c>
      <c r="K46" s="57">
        <v>1</v>
      </c>
      <c r="L46" s="57"/>
      <c r="M46" s="59">
        <v>0.56000000000000005</v>
      </c>
      <c r="N46" s="58"/>
      <c r="O46" s="57"/>
      <c r="P46" s="57"/>
      <c r="Q46" s="57"/>
      <c r="R46" s="58">
        <v>0</v>
      </c>
      <c r="S46" s="58">
        <v>415</v>
      </c>
      <c r="T46" s="58"/>
      <c r="U46" s="58"/>
      <c r="V46" s="54" t="s">
        <v>49</v>
      </c>
      <c r="W46" s="36"/>
      <c r="X46" s="3" t="str">
        <f t="shared" si="16"/>
        <v>2026-W25</v>
      </c>
      <c r="Y46" s="48" t="str">
        <f t="shared" ca="1" si="17"/>
        <v>Job Submitted AMDOCS ECD</v>
      </c>
      <c r="Z46" s="2">
        <f t="shared" si="18"/>
        <v>2026</v>
      </c>
      <c r="AA46" s="2"/>
      <c r="AB46" s="42">
        <v>6157.0649999999996</v>
      </c>
      <c r="AC46" s="1" t="s">
        <v>46</v>
      </c>
      <c r="AK46" s="51"/>
      <c r="AL46" s="35"/>
    </row>
    <row r="47" spans="1:38" ht="12.75" customHeight="1" x14ac:dyDescent="0.3">
      <c r="A47" s="55">
        <v>13</v>
      </c>
      <c r="B47" s="55">
        <v>761434</v>
      </c>
      <c r="C47" s="56">
        <v>46191</v>
      </c>
      <c r="D47" s="56">
        <v>46195</v>
      </c>
      <c r="E47" s="55" t="s">
        <v>43</v>
      </c>
      <c r="F47" s="55" t="s">
        <v>29</v>
      </c>
      <c r="G47" s="55" t="s">
        <v>55</v>
      </c>
      <c r="H47" s="33">
        <v>46195</v>
      </c>
      <c r="I47" s="55"/>
      <c r="J47" s="55" t="s">
        <v>22</v>
      </c>
      <c r="K47" s="57">
        <v>1</v>
      </c>
      <c r="L47" s="57"/>
      <c r="M47" s="59">
        <v>0.34</v>
      </c>
      <c r="N47" s="58"/>
      <c r="O47" s="57"/>
      <c r="P47" s="57"/>
      <c r="Q47" s="57"/>
      <c r="R47" s="58">
        <v>273</v>
      </c>
      <c r="S47" s="58"/>
      <c r="T47" s="58"/>
      <c r="U47" s="58"/>
      <c r="V47" s="54" t="s">
        <v>49</v>
      </c>
      <c r="W47" s="36"/>
      <c r="X47" s="3" t="str">
        <f t="shared" si="16"/>
        <v>2026-W26</v>
      </c>
      <c r="Y47" s="48" t="str">
        <f t="shared" ca="1" si="17"/>
        <v>Job Submitted AMDOCS ECD</v>
      </c>
      <c r="Z47" s="2">
        <f t="shared" si="18"/>
        <v>2026</v>
      </c>
      <c r="AA47" s="2"/>
      <c r="AB47" s="42">
        <v>5978.2259999999997</v>
      </c>
      <c r="AC47" s="1" t="s">
        <v>46</v>
      </c>
      <c r="AK47" s="51"/>
      <c r="AL47" s="35"/>
    </row>
    <row r="48" spans="1:38" ht="12.75" customHeight="1" x14ac:dyDescent="0.3">
      <c r="A48" s="55">
        <v>14</v>
      </c>
      <c r="B48" s="55">
        <v>147156</v>
      </c>
      <c r="C48" s="56">
        <v>46197</v>
      </c>
      <c r="D48" s="56">
        <v>46199</v>
      </c>
      <c r="E48" s="55" t="s">
        <v>43</v>
      </c>
      <c r="F48" s="55" t="s">
        <v>35</v>
      </c>
      <c r="G48" s="55" t="s">
        <v>55</v>
      </c>
      <c r="H48" s="33">
        <v>46199</v>
      </c>
      <c r="I48" s="55"/>
      <c r="J48" s="55" t="s">
        <v>22</v>
      </c>
      <c r="K48" s="57">
        <v>1</v>
      </c>
      <c r="L48" s="57"/>
      <c r="M48" s="59">
        <v>0.73</v>
      </c>
      <c r="N48" s="58"/>
      <c r="O48" s="57"/>
      <c r="P48" s="57"/>
      <c r="Q48" s="57"/>
      <c r="R48" s="58">
        <v>327</v>
      </c>
      <c r="S48" s="58"/>
      <c r="T48" s="58">
        <v>1</v>
      </c>
      <c r="U48" s="58"/>
      <c r="V48" s="54" t="s">
        <v>49</v>
      </c>
      <c r="W48" s="36"/>
      <c r="X48" s="3" t="str">
        <f t="shared" si="16"/>
        <v>2026-W26</v>
      </c>
      <c r="Y48" s="48" t="str">
        <f t="shared" ca="1" si="17"/>
        <v>Job Submitted AMDOCS ECD</v>
      </c>
      <c r="Z48" s="2">
        <f t="shared" si="18"/>
        <v>2026</v>
      </c>
      <c r="AA48" s="2"/>
      <c r="AB48" s="42">
        <v>6455.8739999999998</v>
      </c>
      <c r="AC48" s="1" t="s">
        <v>46</v>
      </c>
      <c r="AK48" s="51"/>
      <c r="AL48" s="35"/>
    </row>
    <row r="49" spans="1:38" ht="12.75" customHeight="1" x14ac:dyDescent="0.3">
      <c r="A49" s="55">
        <v>15</v>
      </c>
      <c r="B49" s="55">
        <v>656234</v>
      </c>
      <c r="C49" s="56">
        <v>46197</v>
      </c>
      <c r="D49" s="56">
        <v>46199</v>
      </c>
      <c r="E49" s="55" t="s">
        <v>43</v>
      </c>
      <c r="F49" s="55" t="s">
        <v>35</v>
      </c>
      <c r="G49" s="55" t="s">
        <v>55</v>
      </c>
      <c r="H49" s="33">
        <v>46199</v>
      </c>
      <c r="I49" s="55"/>
      <c r="J49" s="55" t="s">
        <v>22</v>
      </c>
      <c r="K49" s="57">
        <v>1</v>
      </c>
      <c r="L49" s="57"/>
      <c r="M49" s="59">
        <v>0.62</v>
      </c>
      <c r="N49" s="58"/>
      <c r="O49" s="57"/>
      <c r="P49" s="57"/>
      <c r="Q49" s="57"/>
      <c r="R49" s="58">
        <v>0</v>
      </c>
      <c r="S49" s="58">
        <v>300</v>
      </c>
      <c r="T49" s="58">
        <v>3</v>
      </c>
      <c r="U49" s="58"/>
      <c r="V49" s="54" t="s">
        <v>49</v>
      </c>
      <c r="W49" s="36"/>
      <c r="X49" s="3" t="str">
        <f t="shared" si="16"/>
        <v>2026-W26</v>
      </c>
      <c r="Y49" s="48" t="str">
        <f t="shared" ca="1" si="17"/>
        <v>Job Submitted AMDOCS ECD</v>
      </c>
      <c r="Z49" s="2">
        <f t="shared" si="18"/>
        <v>2026</v>
      </c>
      <c r="AA49" s="2"/>
      <c r="AB49" s="42">
        <v>6789</v>
      </c>
      <c r="AC49" s="1" t="s">
        <v>46</v>
      </c>
      <c r="AK49" s="51"/>
      <c r="AL49" s="35"/>
    </row>
    <row r="50" spans="1:38" ht="12.75" customHeight="1" x14ac:dyDescent="0.3">
      <c r="A50" s="55">
        <v>16</v>
      </c>
      <c r="B50" s="55">
        <v>261973</v>
      </c>
      <c r="C50" s="56">
        <v>46197</v>
      </c>
      <c r="D50" s="56">
        <v>46202</v>
      </c>
      <c r="E50" s="55" t="s">
        <v>43</v>
      </c>
      <c r="F50" s="55" t="s">
        <v>35</v>
      </c>
      <c r="G50" s="55" t="s">
        <v>55</v>
      </c>
      <c r="H50" s="33">
        <v>46202</v>
      </c>
      <c r="I50" s="55"/>
      <c r="J50" s="55" t="s">
        <v>22</v>
      </c>
      <c r="K50" s="57">
        <v>1</v>
      </c>
      <c r="L50" s="57"/>
      <c r="M50" s="59">
        <v>0.65</v>
      </c>
      <c r="N50" s="58"/>
      <c r="O50" s="57"/>
      <c r="P50" s="57"/>
      <c r="Q50" s="57"/>
      <c r="R50" s="58">
        <v>190</v>
      </c>
      <c r="S50" s="58"/>
      <c r="T50" s="58"/>
      <c r="U50" s="58"/>
      <c r="V50" s="54" t="s">
        <v>49</v>
      </c>
      <c r="W50" s="36"/>
      <c r="X50" s="3" t="str">
        <f t="shared" si="16"/>
        <v>2026-W27</v>
      </c>
      <c r="Y50" s="48" t="str">
        <f t="shared" ca="1" si="17"/>
        <v>Job Submitted AMDOCS ECD</v>
      </c>
      <c r="Z50" s="2">
        <f t="shared" si="18"/>
        <v>2026</v>
      </c>
      <c r="AA50" s="2"/>
      <c r="AB50" s="42">
        <v>5715.78</v>
      </c>
      <c r="AC50" s="1" t="s">
        <v>46</v>
      </c>
      <c r="AK50" s="51"/>
      <c r="AL50" s="35"/>
    </row>
    <row r="51" spans="1:38" ht="12.75" customHeight="1" x14ac:dyDescent="0.3">
      <c r="A51" s="60">
        <v>17</v>
      </c>
      <c r="B51" s="60">
        <v>711872</v>
      </c>
      <c r="C51" s="61">
        <v>46205</v>
      </c>
      <c r="D51" s="61">
        <v>46209</v>
      </c>
      <c r="E51" s="60" t="s">
        <v>44</v>
      </c>
      <c r="F51" s="60" t="s">
        <v>35</v>
      </c>
      <c r="G51" s="60" t="s">
        <v>55</v>
      </c>
      <c r="H51" s="33">
        <v>46209</v>
      </c>
      <c r="I51" s="60"/>
      <c r="J51" s="60" t="s">
        <v>22</v>
      </c>
      <c r="K51" s="62">
        <v>1</v>
      </c>
      <c r="L51" s="62"/>
      <c r="M51" s="64">
        <v>0.69</v>
      </c>
      <c r="N51" s="64">
        <v>1</v>
      </c>
      <c r="O51" s="62"/>
      <c r="P51" s="62"/>
      <c r="Q51" s="62"/>
      <c r="R51" s="63">
        <v>818</v>
      </c>
      <c r="S51" s="63"/>
      <c r="T51" s="63">
        <v>1</v>
      </c>
      <c r="U51" s="63"/>
      <c r="V51" s="54" t="s">
        <v>49</v>
      </c>
      <c r="W51" s="36"/>
      <c r="X51" s="3" t="str">
        <f t="shared" si="16"/>
        <v>2026-W28</v>
      </c>
      <c r="Y51" s="48" t="str">
        <f t="shared" ca="1" si="17"/>
        <v>Job Submitted AMDOCS ECD</v>
      </c>
      <c r="Z51" s="2">
        <f t="shared" si="18"/>
        <v>2026</v>
      </c>
      <c r="AA51" s="2"/>
      <c r="AB51" s="42">
        <v>8008.4159999999993</v>
      </c>
      <c r="AC51" s="1" t="s">
        <v>47</v>
      </c>
      <c r="AK51" s="51"/>
      <c r="AL51" s="35"/>
    </row>
    <row r="52" spans="1:38" ht="12.75" customHeight="1" x14ac:dyDescent="0.3">
      <c r="A52" s="60">
        <v>18</v>
      </c>
      <c r="B52" s="60">
        <v>323744</v>
      </c>
      <c r="C52" s="61">
        <v>46206</v>
      </c>
      <c r="D52" s="61">
        <v>46209</v>
      </c>
      <c r="E52" s="60" t="s">
        <v>44</v>
      </c>
      <c r="F52" s="60" t="s">
        <v>35</v>
      </c>
      <c r="G52" s="60" t="s">
        <v>55</v>
      </c>
      <c r="H52" s="33">
        <v>46209</v>
      </c>
      <c r="I52" s="60"/>
      <c r="J52" s="60" t="s">
        <v>22</v>
      </c>
      <c r="K52" s="62">
        <v>1</v>
      </c>
      <c r="L52" s="62"/>
      <c r="M52" s="64">
        <v>0.81</v>
      </c>
      <c r="N52" s="64">
        <v>1</v>
      </c>
      <c r="O52" s="62"/>
      <c r="P52" s="62"/>
      <c r="Q52" s="62"/>
      <c r="R52" s="63">
        <v>350</v>
      </c>
      <c r="S52" s="63"/>
      <c r="T52" s="63">
        <v>1</v>
      </c>
      <c r="U52" s="63"/>
      <c r="V52" s="54" t="s">
        <v>49</v>
      </c>
      <c r="W52" s="36"/>
      <c r="X52" s="3" t="str">
        <f t="shared" si="16"/>
        <v>2026-W28</v>
      </c>
      <c r="Y52" s="48" t="str">
        <f t="shared" ca="1" si="17"/>
        <v>Job Submitted AMDOCS ECD</v>
      </c>
      <c r="Z52" s="2">
        <f t="shared" si="18"/>
        <v>2026</v>
      </c>
      <c r="AA52" s="2"/>
      <c r="AB52" s="42">
        <v>6528.5999999999995</v>
      </c>
      <c r="AC52" s="1" t="s">
        <v>47</v>
      </c>
      <c r="AK52" s="51"/>
      <c r="AL52" s="35"/>
    </row>
    <row r="53" spans="1:38" ht="12.75" customHeight="1" x14ac:dyDescent="0.3">
      <c r="A53" s="60">
        <v>19</v>
      </c>
      <c r="B53" s="60">
        <v>447223</v>
      </c>
      <c r="C53" s="61">
        <v>46213</v>
      </c>
      <c r="D53" s="61">
        <v>46217</v>
      </c>
      <c r="E53" s="60" t="s">
        <v>44</v>
      </c>
      <c r="F53" s="60" t="s">
        <v>35</v>
      </c>
      <c r="G53" s="60" t="s">
        <v>55</v>
      </c>
      <c r="H53" s="33">
        <v>46217</v>
      </c>
      <c r="I53" s="60"/>
      <c r="J53" s="60" t="s">
        <v>22</v>
      </c>
      <c r="K53" s="62">
        <v>1</v>
      </c>
      <c r="L53" s="62"/>
      <c r="M53" s="62"/>
      <c r="N53" s="62"/>
      <c r="O53" s="62"/>
      <c r="P53" s="62"/>
      <c r="Q53" s="62"/>
      <c r="R53" s="63"/>
      <c r="S53" s="63"/>
      <c r="T53" s="63"/>
      <c r="U53" s="63"/>
      <c r="V53" s="54" t="s">
        <v>49</v>
      </c>
      <c r="W53" s="64"/>
      <c r="X53" s="3" t="str">
        <f t="shared" si="16"/>
        <v>2026-W29</v>
      </c>
      <c r="Y53" s="48" t="str">
        <f t="shared" ca="1" si="17"/>
        <v>Job Submitted AMDOCS ECD</v>
      </c>
      <c r="Z53" s="2">
        <f t="shared" si="18"/>
        <v>2026</v>
      </c>
      <c r="AA53" s="2"/>
      <c r="AB53" s="42">
        <v>0</v>
      </c>
      <c r="AC53" s="1" t="s">
        <v>48</v>
      </c>
      <c r="AK53" s="51"/>
      <c r="AL53" s="35"/>
    </row>
    <row r="54" spans="1:38" ht="12.75" customHeight="1" x14ac:dyDescent="0.3">
      <c r="A54" s="60">
        <v>20</v>
      </c>
      <c r="B54" s="60">
        <v>321837</v>
      </c>
      <c r="C54" s="61">
        <v>46217</v>
      </c>
      <c r="D54" s="61">
        <v>46219</v>
      </c>
      <c r="E54" s="60" t="s">
        <v>44</v>
      </c>
      <c r="F54" s="60" t="s">
        <v>35</v>
      </c>
      <c r="G54" s="60" t="s">
        <v>55</v>
      </c>
      <c r="H54" s="60"/>
      <c r="I54" s="60"/>
      <c r="J54" s="60" t="s">
        <v>26</v>
      </c>
      <c r="K54" s="62"/>
      <c r="L54" s="62"/>
      <c r="M54" s="62"/>
      <c r="N54" s="62"/>
      <c r="O54" s="62"/>
      <c r="P54" s="62"/>
      <c r="Q54" s="62"/>
      <c r="R54" s="63"/>
      <c r="S54" s="63"/>
      <c r="T54" s="63"/>
      <c r="U54" s="63"/>
      <c r="V54" s="54" t="s">
        <v>49</v>
      </c>
      <c r="W54" s="64"/>
      <c r="X54" s="3" t="str">
        <f t="shared" si="16"/>
        <v>2026-W29</v>
      </c>
      <c r="Y54" s="48" t="str">
        <f t="shared" ca="1" si="17"/>
        <v>ECD Lapsed</v>
      </c>
      <c r="Z54" s="2">
        <f t="shared" si="18"/>
        <v>2026</v>
      </c>
      <c r="AA54" s="2"/>
      <c r="AB54" s="42">
        <v>0</v>
      </c>
      <c r="AC54" s="1" t="s">
        <v>26</v>
      </c>
      <c r="AK54" s="51"/>
      <c r="AL54" s="35"/>
    </row>
  </sheetData>
  <dataValidations disablePrompts="1" count="1">
    <dataValidation type="list" allowBlank="1" showInputMessage="1" showErrorMessage="1" sqref="G2:G45 J2:J45" xr:uid="{691434B2-1549-49AC-9318-77CA662053A7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Kehar Singh</dc:creator>
  <cp:lastModifiedBy>Kehar Singh</cp:lastModifiedBy>
  <dcterms:created xsi:type="dcterms:W3CDTF">2026-07-17T06:37:53Z</dcterms:created>
  <dcterms:modified xsi:type="dcterms:W3CDTF">2026-07-17T07:34:50Z</dcterms:modified>
</cp:coreProperties>
</file>